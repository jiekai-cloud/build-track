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新傑凱工程\01_傑凱工程\01_專案進行區\2026年專案\台灣生活品質_案號_工程名稱(範本)\05_報價&amp;合約\01_報價資料\"/>
    </mc:Choice>
  </mc:AlternateContent>
  <xr:revisionPtr revIDLastSave="0" documentId="13_ncr:1_{A2019AF1-77AB-40C0-8EA2-FB9FCCCD5D9E}" xr6:coauthVersionLast="47" xr6:coauthVersionMax="47" xr10:uidLastSave="{00000000-0000-0000-0000-000000000000}"/>
  <bookViews>
    <workbookView xWindow="-108" yWindow="-108" windowWidth="41496" windowHeight="16776" firstSheet="1" activeTab="2" xr2:uid="{00000000-000D-0000-FFFF-FFFF00000000}"/>
  </bookViews>
  <sheets>
    <sheet name="總表" sheetId="48" r:id="rId1"/>
    <sheet name="一般報價單" sheetId="27" r:id="rId2"/>
    <sheet name="蜘蛛人報價單" sheetId="39" r:id="rId3"/>
    <sheet name="免打除廁所" sheetId="40" r:id="rId4"/>
    <sheet name="打除廁所" sheetId="42" r:id="rId5"/>
    <sheet name="設計師項目" sheetId="49" r:id="rId6"/>
    <sheet name="SPC廁所" sheetId="43" r:id="rId7"/>
    <sheet name="透氣工法" sheetId="45" r:id="rId8"/>
    <sheet name="無機" sheetId="50" r:id="rId9"/>
    <sheet name="牆面壁癌" sheetId="44" r:id="rId10"/>
    <sheet name="地下室" sheetId="51" r:id="rId11"/>
    <sheet name="ＤＥＣＫ" sheetId="46" r:id="rId12"/>
    <sheet name="一般會勘費用" sheetId="47" r:id="rId13"/>
    <sheet name="信義會勘費用" sheetId="18" r:id="rId14"/>
    <sheet name="台塑網報價單格式" sheetId="15" r:id="rId15"/>
    <sheet name="台塑預約報價單" sheetId="10" r:id="rId16"/>
    <sheet name="美光報價單" sheetId="14" r:id="rId17"/>
    <sheet name="美光議價報價單" sheetId="8" r:id="rId18"/>
  </sheets>
  <externalReferences>
    <externalReference r:id="rId19"/>
  </externalReferences>
  <definedNames>
    <definedName name="_xlnm.Print_Area" localSheetId="11">ＤＥＣＫ!$A$1:$H$34</definedName>
    <definedName name="_xlnm.Print_Area" localSheetId="6">SPC廁所!$A$1:$H$34</definedName>
    <definedName name="_xlnm.Print_Area" localSheetId="1">一般報價單!$A$1:$H$105</definedName>
    <definedName name="_xlnm.Print_Area" localSheetId="12">一般會勘費用!$A$1:$H$31</definedName>
    <definedName name="_xlnm.Print_Area" localSheetId="15">台塑預約報價單!$A$1:$G$108</definedName>
    <definedName name="_xlnm.Print_Area" localSheetId="14">台塑網報價單格式!$A$1:$G$67</definedName>
    <definedName name="_xlnm.Print_Area" localSheetId="4">打除廁所!$A$1:$H$38</definedName>
    <definedName name="_xlnm.Print_Area" localSheetId="10">地下室!$A$1:$H$41</definedName>
    <definedName name="_xlnm.Print_Area" localSheetId="3">免打除廁所!$A$1:$H$34</definedName>
    <definedName name="_xlnm.Print_Area" localSheetId="13">信義會勘費用!$A$1:$H$42</definedName>
    <definedName name="_xlnm.Print_Area" localSheetId="16">美光報價單!$A$1:$H$87</definedName>
    <definedName name="_xlnm.Print_Area" localSheetId="17">美光議價報價單!$A$1:$K$86</definedName>
    <definedName name="_xlnm.Print_Area" localSheetId="5">設計師項目!$A$1:$H$86</definedName>
    <definedName name="_xlnm.Print_Area" localSheetId="7">透氣工法!$A$1:$H$36</definedName>
    <definedName name="_xlnm.Print_Area" localSheetId="8">無機!$A$1:$H$28</definedName>
    <definedName name="_xlnm.Print_Area" localSheetId="2">蜘蛛人報價單!$A$1:$H$56</definedName>
    <definedName name="_xlnm.Print_Area" localSheetId="9">牆面壁癌!$A$1:$H$29</definedName>
    <definedName name="_xlnm.Print_Area" localSheetId="0">總表!$A$1:$H$20</definedName>
    <definedName name="_xlnm.Print_Titles" localSheetId="11">ＤＥＣＫ!$1:$12</definedName>
    <definedName name="_xlnm.Print_Titles" localSheetId="6">SPC廁所!$1:$12</definedName>
    <definedName name="_xlnm.Print_Titles" localSheetId="1">一般報價單!$1:$12</definedName>
    <definedName name="_xlnm.Print_Titles" localSheetId="12">一般會勘費用!$1:$9</definedName>
    <definedName name="_xlnm.Print_Titles" localSheetId="15">台塑預約報價單!$1:$11</definedName>
    <definedName name="_xlnm.Print_Titles" localSheetId="14">台塑網報價單格式!$1:$11</definedName>
    <definedName name="_xlnm.Print_Titles" localSheetId="4">打除廁所!$1:$12</definedName>
    <definedName name="_xlnm.Print_Titles" localSheetId="10">地下室!$1:$12</definedName>
    <definedName name="_xlnm.Print_Titles" localSheetId="3">免打除廁所!$1:$12</definedName>
    <definedName name="_xlnm.Print_Titles" localSheetId="13">信義會勘費用!$1:$10</definedName>
    <definedName name="_xlnm.Print_Titles" localSheetId="16">美光報價單!$1:$11</definedName>
    <definedName name="_xlnm.Print_Titles" localSheetId="17">美光議價報價單!$1:$11</definedName>
    <definedName name="_xlnm.Print_Titles" localSheetId="5">設計師項目!$1:$12</definedName>
    <definedName name="_xlnm.Print_Titles" localSheetId="7">透氣工法!$1:$12</definedName>
    <definedName name="_xlnm.Print_Titles" localSheetId="8">無機!$1:$12</definedName>
    <definedName name="_xlnm.Print_Titles" localSheetId="2">蜘蛛人報價單!$1:$12</definedName>
    <definedName name="_xlnm.Print_Titles" localSheetId="9">牆面壁癌!$1:$12</definedName>
    <definedName name="_xlnm.Print_Titles" localSheetId="0">總表!$1:$12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2" i="51" l="1"/>
  <c r="B33" i="51"/>
  <c r="B34" i="51"/>
  <c r="B35" i="51"/>
  <c r="B36" i="51"/>
  <c r="B37" i="51"/>
  <c r="B38" i="51"/>
  <c r="B31" i="51"/>
  <c r="P27" i="51"/>
  <c r="N27" i="51"/>
  <c r="G27" i="51"/>
  <c r="A27" i="51"/>
  <c r="P26" i="51"/>
  <c r="N26" i="51"/>
  <c r="A26" i="51"/>
  <c r="P25" i="51"/>
  <c r="N25" i="51"/>
  <c r="J25" i="51"/>
  <c r="G25" i="51"/>
  <c r="A25" i="51"/>
  <c r="P24" i="51"/>
  <c r="N24" i="51"/>
  <c r="J24" i="51"/>
  <c r="G24" i="51"/>
  <c r="A24" i="51"/>
  <c r="P23" i="51"/>
  <c r="N23" i="51"/>
  <c r="J23" i="51"/>
  <c r="G23" i="51"/>
  <c r="A23" i="51"/>
  <c r="P22" i="51"/>
  <c r="N22" i="51"/>
  <c r="Q22" i="51" s="1"/>
  <c r="J22" i="51"/>
  <c r="G22" i="51"/>
  <c r="A22" i="51"/>
  <c r="P21" i="51"/>
  <c r="N21" i="51"/>
  <c r="J21" i="51"/>
  <c r="G21" i="51"/>
  <c r="A21" i="51"/>
  <c r="P20" i="51"/>
  <c r="N20" i="51"/>
  <c r="Q20" i="51" s="1"/>
  <c r="J20" i="51"/>
  <c r="G20" i="51"/>
  <c r="A20" i="51"/>
  <c r="P19" i="51"/>
  <c r="N19" i="51"/>
  <c r="J19" i="51"/>
  <c r="G19" i="51"/>
  <c r="A19" i="51"/>
  <c r="T18" i="51"/>
  <c r="P18" i="51"/>
  <c r="N18" i="51"/>
  <c r="J18" i="51"/>
  <c r="G18" i="51"/>
  <c r="A18" i="51"/>
  <c r="T17" i="51"/>
  <c r="N17" i="51" s="1"/>
  <c r="P17" i="51"/>
  <c r="J17" i="51"/>
  <c r="G17" i="51"/>
  <c r="A17" i="51"/>
  <c r="V16" i="51"/>
  <c r="T16" i="51"/>
  <c r="P16" i="51"/>
  <c r="N16" i="51"/>
  <c r="Q16" i="51" s="1"/>
  <c r="J16" i="51"/>
  <c r="G16" i="51"/>
  <c r="A16" i="51"/>
  <c r="V15" i="51"/>
  <c r="T15" i="51"/>
  <c r="P15" i="51"/>
  <c r="L15" i="51"/>
  <c r="N15" i="51" s="1"/>
  <c r="Q15" i="51" s="1"/>
  <c r="J15" i="51"/>
  <c r="G15" i="51"/>
  <c r="A15" i="51"/>
  <c r="T14" i="51"/>
  <c r="P14" i="51"/>
  <c r="L14" i="51"/>
  <c r="J14" i="51" s="1"/>
  <c r="G14" i="51"/>
  <c r="A14" i="51"/>
  <c r="O13" i="51"/>
  <c r="P13" i="51" s="1"/>
  <c r="N13" i="51"/>
  <c r="K13" i="51"/>
  <c r="G13" i="51"/>
  <c r="A13" i="51"/>
  <c r="H2" i="51"/>
  <c r="B22" i="50"/>
  <c r="B23" i="50"/>
  <c r="B24" i="50"/>
  <c r="B25" i="50"/>
  <c r="B21" i="50"/>
  <c r="E18" i="50"/>
  <c r="E15" i="50" s="1"/>
  <c r="E17" i="50"/>
  <c r="E14" i="50" s="1"/>
  <c r="T19" i="50"/>
  <c r="N19" i="50" s="1"/>
  <c r="P19" i="50"/>
  <c r="J19" i="50"/>
  <c r="N18" i="50"/>
  <c r="J18" i="50"/>
  <c r="G18" i="50"/>
  <c r="O14" i="50"/>
  <c r="K14" i="50"/>
  <c r="H2" i="50"/>
  <c r="B84" i="49"/>
  <c r="B85" i="49"/>
  <c r="B86" i="49"/>
  <c r="B83" i="49"/>
  <c r="A65" i="49"/>
  <c r="A66" i="49"/>
  <c r="A67" i="49"/>
  <c r="A68" i="49"/>
  <c r="A69" i="49"/>
  <c r="A70" i="49"/>
  <c r="A71" i="49"/>
  <c r="A72" i="49"/>
  <c r="A73" i="49"/>
  <c r="A74" i="49"/>
  <c r="A75" i="49"/>
  <c r="A76" i="49"/>
  <c r="A64" i="49"/>
  <c r="A59" i="49"/>
  <c r="A60" i="49"/>
  <c r="A58" i="49"/>
  <c r="A54" i="49"/>
  <c r="A55" i="49"/>
  <c r="A53" i="49"/>
  <c r="A48" i="49"/>
  <c r="A49" i="49"/>
  <c r="A50" i="49"/>
  <c r="A47" i="49"/>
  <c r="A42" i="49"/>
  <c r="A43" i="49"/>
  <c r="A44" i="49"/>
  <c r="A41" i="49"/>
  <c r="A80" i="49"/>
  <c r="A81" i="49"/>
  <c r="A79" i="49"/>
  <c r="P81" i="49"/>
  <c r="N81" i="49"/>
  <c r="J81" i="49"/>
  <c r="G81" i="49"/>
  <c r="P80" i="49"/>
  <c r="N80" i="49"/>
  <c r="J80" i="49"/>
  <c r="G80" i="49"/>
  <c r="O79" i="49"/>
  <c r="P79" i="49" s="1"/>
  <c r="N79" i="49"/>
  <c r="K79" i="49"/>
  <c r="G79" i="49"/>
  <c r="V65" i="49"/>
  <c r="T65" i="49"/>
  <c r="P65" i="49"/>
  <c r="J65" i="49"/>
  <c r="G65" i="49"/>
  <c r="T76" i="49"/>
  <c r="N76" i="49" s="1"/>
  <c r="P76" i="49"/>
  <c r="J76" i="49"/>
  <c r="G76" i="49"/>
  <c r="P75" i="49"/>
  <c r="N75" i="49"/>
  <c r="J75" i="49"/>
  <c r="G75" i="49"/>
  <c r="P74" i="49"/>
  <c r="N74" i="49"/>
  <c r="J74" i="49"/>
  <c r="G74" i="49"/>
  <c r="P73" i="49"/>
  <c r="N73" i="49"/>
  <c r="J73" i="49"/>
  <c r="G73" i="49"/>
  <c r="P72" i="49"/>
  <c r="N72" i="49"/>
  <c r="J72" i="49"/>
  <c r="G72" i="49"/>
  <c r="P71" i="49"/>
  <c r="N71" i="49"/>
  <c r="J71" i="49"/>
  <c r="G71" i="49"/>
  <c r="P70" i="49"/>
  <c r="N70" i="49"/>
  <c r="J70" i="49"/>
  <c r="G70" i="49"/>
  <c r="P69" i="49"/>
  <c r="N69" i="49"/>
  <c r="G69" i="49"/>
  <c r="P68" i="49"/>
  <c r="N68" i="49"/>
  <c r="J68" i="49"/>
  <c r="G68" i="49"/>
  <c r="P67" i="49"/>
  <c r="N67" i="49"/>
  <c r="J67" i="49"/>
  <c r="G67" i="49"/>
  <c r="P66" i="49"/>
  <c r="N66" i="49"/>
  <c r="J66" i="49"/>
  <c r="G66" i="49"/>
  <c r="O64" i="49"/>
  <c r="P64" i="49" s="1"/>
  <c r="N64" i="49"/>
  <c r="K64" i="49"/>
  <c r="G64" i="49"/>
  <c r="P55" i="49"/>
  <c r="N55" i="49"/>
  <c r="J55" i="49"/>
  <c r="G55" i="49"/>
  <c r="P54" i="49"/>
  <c r="N54" i="49"/>
  <c r="J54" i="49"/>
  <c r="G54" i="49"/>
  <c r="P60" i="49"/>
  <c r="N60" i="49"/>
  <c r="J60" i="49"/>
  <c r="G60" i="49"/>
  <c r="P59" i="49"/>
  <c r="N59" i="49"/>
  <c r="J59" i="49"/>
  <c r="G59" i="49"/>
  <c r="V58" i="49"/>
  <c r="T58" i="49"/>
  <c r="P58" i="49"/>
  <c r="L58" i="49"/>
  <c r="J58" i="49" s="1"/>
  <c r="G58" i="49"/>
  <c r="P43" i="49"/>
  <c r="N43" i="49"/>
  <c r="J43" i="49"/>
  <c r="G43" i="49"/>
  <c r="P44" i="49"/>
  <c r="N44" i="49"/>
  <c r="J44" i="49"/>
  <c r="G44" i="49"/>
  <c r="A37" i="49"/>
  <c r="A36" i="49"/>
  <c r="A30" i="49"/>
  <c r="A31" i="49"/>
  <c r="A32" i="49"/>
  <c r="A33" i="49"/>
  <c r="A29" i="49"/>
  <c r="A23" i="49"/>
  <c r="A24" i="49"/>
  <c r="A25" i="49"/>
  <c r="A26" i="49"/>
  <c r="A22" i="49"/>
  <c r="A16" i="49"/>
  <c r="A17" i="49"/>
  <c r="A18" i="49"/>
  <c r="A19" i="49"/>
  <c r="A15" i="49"/>
  <c r="V53" i="49"/>
  <c r="T53" i="49"/>
  <c r="P53" i="49"/>
  <c r="L53" i="49"/>
  <c r="G53" i="49"/>
  <c r="T42" i="49"/>
  <c r="P42" i="49"/>
  <c r="L42" i="49"/>
  <c r="J42" i="49" s="1"/>
  <c r="G42" i="49"/>
  <c r="T48" i="49"/>
  <c r="P48" i="49"/>
  <c r="L48" i="49"/>
  <c r="J48" i="49" s="1"/>
  <c r="G48" i="49"/>
  <c r="T47" i="49"/>
  <c r="N47" i="49" s="1"/>
  <c r="P47" i="49"/>
  <c r="J47" i="49"/>
  <c r="G47" i="49"/>
  <c r="P50" i="49"/>
  <c r="N50" i="49"/>
  <c r="J50" i="49"/>
  <c r="G50" i="49"/>
  <c r="P49" i="49"/>
  <c r="N49" i="49"/>
  <c r="J49" i="49"/>
  <c r="G49" i="49"/>
  <c r="T41" i="49"/>
  <c r="N41" i="49" s="1"/>
  <c r="P41" i="49"/>
  <c r="J41" i="49"/>
  <c r="G41" i="49"/>
  <c r="A16" i="45"/>
  <c r="G16" i="45"/>
  <c r="J16" i="45"/>
  <c r="N16" i="45"/>
  <c r="P16" i="45"/>
  <c r="Q16" i="45"/>
  <c r="P31" i="49"/>
  <c r="Q31" i="49" s="1"/>
  <c r="G31" i="49"/>
  <c r="P24" i="49"/>
  <c r="Q24" i="49" s="1"/>
  <c r="G24" i="49"/>
  <c r="E19" i="49"/>
  <c r="P19" i="49" s="1"/>
  <c r="E18" i="49"/>
  <c r="N18" i="49" s="1"/>
  <c r="P17" i="49"/>
  <c r="Q17" i="49" s="1"/>
  <c r="G17" i="49"/>
  <c r="E16" i="49"/>
  <c r="P16" i="49" s="1"/>
  <c r="E15" i="49"/>
  <c r="G15" i="49" s="1"/>
  <c r="N14" i="27"/>
  <c r="L21" i="27"/>
  <c r="J21" i="27" s="1"/>
  <c r="T20" i="27"/>
  <c r="J19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6" i="27"/>
  <c r="J57" i="27"/>
  <c r="J58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L20" i="27"/>
  <c r="J20" i="27" s="1"/>
  <c r="J18" i="27"/>
  <c r="B29" i="45"/>
  <c r="B30" i="45"/>
  <c r="B31" i="45"/>
  <c r="B32" i="45"/>
  <c r="B33" i="45"/>
  <c r="B28" i="45"/>
  <c r="E23" i="49"/>
  <c r="E22" i="49"/>
  <c r="N22" i="49" s="1"/>
  <c r="E29" i="49"/>
  <c r="G29" i="49" s="1"/>
  <c r="N37" i="49"/>
  <c r="J36" i="49"/>
  <c r="A13" i="45"/>
  <c r="G13" i="45"/>
  <c r="K13" i="45"/>
  <c r="N13" i="45"/>
  <c r="O13" i="45"/>
  <c r="P13" i="45" s="1"/>
  <c r="Q13" i="45" s="1"/>
  <c r="N19" i="45"/>
  <c r="N20" i="45"/>
  <c r="N21" i="45"/>
  <c r="N22" i="45"/>
  <c r="N26" i="45"/>
  <c r="N14" i="45"/>
  <c r="N15" i="45"/>
  <c r="N17" i="45"/>
  <c r="N18" i="45"/>
  <c r="J18" i="45"/>
  <c r="J19" i="45"/>
  <c r="J20" i="45"/>
  <c r="J21" i="45"/>
  <c r="J22" i="45"/>
  <c r="J23" i="45"/>
  <c r="J24" i="45"/>
  <c r="J25" i="45"/>
  <c r="J26" i="45"/>
  <c r="J14" i="45"/>
  <c r="J15" i="45"/>
  <c r="A23" i="45"/>
  <c r="A24" i="45"/>
  <c r="A25" i="45"/>
  <c r="A26" i="45"/>
  <c r="E25" i="49"/>
  <c r="J25" i="49" s="1"/>
  <c r="E26" i="49"/>
  <c r="J26" i="49" s="1"/>
  <c r="E33" i="49"/>
  <c r="N33" i="49" s="1"/>
  <c r="E32" i="49"/>
  <c r="P32" i="49" s="1"/>
  <c r="E30" i="49"/>
  <c r="P30" i="49" s="1"/>
  <c r="Q17" i="51" l="1"/>
  <c r="F26" i="51"/>
  <c r="G26" i="51" s="1"/>
  <c r="Q21" i="51"/>
  <c r="Q13" i="51"/>
  <c r="Q18" i="51"/>
  <c r="N14" i="51"/>
  <c r="Q14" i="51" s="1"/>
  <c r="Q19" i="50"/>
  <c r="N17" i="50"/>
  <c r="G17" i="50"/>
  <c r="J17" i="50"/>
  <c r="P17" i="50"/>
  <c r="Q17" i="50" s="1"/>
  <c r="G14" i="50"/>
  <c r="N14" i="50"/>
  <c r="J15" i="50"/>
  <c r="N15" i="50"/>
  <c r="P15" i="50"/>
  <c r="P14" i="50"/>
  <c r="P18" i="50"/>
  <c r="Q18" i="50" s="1"/>
  <c r="G15" i="50"/>
  <c r="G77" i="49"/>
  <c r="G82" i="49"/>
  <c r="Q79" i="49"/>
  <c r="Q81" i="49"/>
  <c r="Q71" i="49"/>
  <c r="N65" i="49"/>
  <c r="Q65" i="49" s="1"/>
  <c r="Q73" i="49"/>
  <c r="Q76" i="49"/>
  <c r="N58" i="49"/>
  <c r="Q58" i="49" s="1"/>
  <c r="Q66" i="49"/>
  <c r="Q69" i="49"/>
  <c r="Q74" i="49"/>
  <c r="Q75" i="49"/>
  <c r="Q72" i="49"/>
  <c r="Q68" i="49"/>
  <c r="Q67" i="49"/>
  <c r="Q64" i="49"/>
  <c r="Q70" i="49"/>
  <c r="G51" i="49"/>
  <c r="G56" i="49" s="1"/>
  <c r="G61" i="49" s="1"/>
  <c r="G45" i="49"/>
  <c r="N53" i="49"/>
  <c r="Q53" i="49" s="1"/>
  <c r="N42" i="49"/>
  <c r="Q42" i="49" s="1"/>
  <c r="J53" i="49"/>
  <c r="Q47" i="49"/>
  <c r="N48" i="49"/>
  <c r="Q48" i="49" s="1"/>
  <c r="Q41" i="49"/>
  <c r="J15" i="49"/>
  <c r="N15" i="49"/>
  <c r="P18" i="49"/>
  <c r="Q18" i="49" s="1"/>
  <c r="P15" i="49"/>
  <c r="J16" i="49"/>
  <c r="G19" i="49"/>
  <c r="G16" i="49"/>
  <c r="J19" i="49"/>
  <c r="N19" i="49"/>
  <c r="Q19" i="49" s="1"/>
  <c r="N16" i="49"/>
  <c r="Q16" i="49" s="1"/>
  <c r="G18" i="49"/>
  <c r="J18" i="49"/>
  <c r="P36" i="49"/>
  <c r="P25" i="49"/>
  <c r="N36" i="49"/>
  <c r="J37" i="49"/>
  <c r="J32" i="49"/>
  <c r="G37" i="49"/>
  <c r="J33" i="49"/>
  <c r="P37" i="49"/>
  <c r="Q37" i="49" s="1"/>
  <c r="N26" i="49"/>
  <c r="G36" i="49"/>
  <c r="P29" i="49"/>
  <c r="N25" i="49"/>
  <c r="N32" i="49"/>
  <c r="Q32" i="49" s="1"/>
  <c r="G25" i="49"/>
  <c r="J29" i="49"/>
  <c r="N29" i="49"/>
  <c r="G32" i="49"/>
  <c r="G33" i="49"/>
  <c r="J30" i="49"/>
  <c r="N30" i="49"/>
  <c r="Q30" i="49" s="1"/>
  <c r="P33" i="49"/>
  <c r="Q33" i="49" s="1"/>
  <c r="G30" i="49"/>
  <c r="P22" i="49"/>
  <c r="Q22" i="49" s="1"/>
  <c r="G22" i="49"/>
  <c r="J22" i="49"/>
  <c r="J23" i="49"/>
  <c r="H2" i="49"/>
  <c r="B96" i="27"/>
  <c r="B97" i="27"/>
  <c r="B98" i="27"/>
  <c r="B99" i="27"/>
  <c r="B100" i="27"/>
  <c r="B101" i="27"/>
  <c r="B102" i="27"/>
  <c r="B95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O14" i="27"/>
  <c r="P14" i="27" s="1"/>
  <c r="K14" i="27"/>
  <c r="G14" i="27"/>
  <c r="A31" i="39"/>
  <c r="G31" i="39"/>
  <c r="P31" i="39"/>
  <c r="T31" i="39"/>
  <c r="N31" i="39" s="1"/>
  <c r="Q31" i="39" s="1"/>
  <c r="A32" i="39"/>
  <c r="G32" i="39"/>
  <c r="N32" i="39"/>
  <c r="Q32" i="39" s="1"/>
  <c r="P32" i="39"/>
  <c r="P30" i="39"/>
  <c r="N30" i="39"/>
  <c r="Q30" i="39" s="1"/>
  <c r="G30" i="39"/>
  <c r="A30" i="39"/>
  <c r="P42" i="27"/>
  <c r="N42" i="27"/>
  <c r="Q42" i="27" s="1"/>
  <c r="G42" i="27"/>
  <c r="V45" i="27"/>
  <c r="T45" i="27"/>
  <c r="P45" i="27"/>
  <c r="N45" i="27"/>
  <c r="Q45" i="27" s="1"/>
  <c r="G45" i="27"/>
  <c r="G28" i="51" l="1"/>
  <c r="Q15" i="50"/>
  <c r="Q14" i="50"/>
  <c r="F19" i="50"/>
  <c r="G19" i="50" s="1"/>
  <c r="G20" i="50" s="1"/>
  <c r="H32" i="50" s="1"/>
  <c r="Q15" i="49"/>
  <c r="Q25" i="49"/>
  <c r="G20" i="49"/>
  <c r="G38" i="49"/>
  <c r="Q36" i="49"/>
  <c r="Q29" i="49"/>
  <c r="G34" i="49"/>
  <c r="G26" i="49"/>
  <c r="N23" i="49"/>
  <c r="P23" i="49"/>
  <c r="G23" i="49"/>
  <c r="Q14" i="27"/>
  <c r="G29" i="51" l="1"/>
  <c r="G30" i="51" s="1"/>
  <c r="P26" i="49"/>
  <c r="Q26" i="49" s="1"/>
  <c r="G27" i="49"/>
  <c r="Q23" i="49"/>
  <c r="P77" i="27"/>
  <c r="N77" i="27"/>
  <c r="Q77" i="27" s="1"/>
  <c r="G77" i="27"/>
  <c r="P74" i="27"/>
  <c r="N74" i="27"/>
  <c r="G74" i="27"/>
  <c r="P89" i="27"/>
  <c r="N89" i="27"/>
  <c r="Q89" i="27" s="1"/>
  <c r="G89" i="27"/>
  <c r="B27" i="40"/>
  <c r="B28" i="40"/>
  <c r="B29" i="40"/>
  <c r="B30" i="40"/>
  <c r="B31" i="40"/>
  <c r="B26" i="40"/>
  <c r="P15" i="40"/>
  <c r="N15" i="40"/>
  <c r="Q15" i="40" s="1"/>
  <c r="J15" i="40"/>
  <c r="G15" i="40"/>
  <c r="A15" i="40"/>
  <c r="P34" i="39"/>
  <c r="N34" i="39"/>
  <c r="Q34" i="39" s="1"/>
  <c r="G34" i="39"/>
  <c r="A34" i="39"/>
  <c r="E24" i="39"/>
  <c r="P24" i="39" s="1"/>
  <c r="A24" i="39"/>
  <c r="E80" i="27"/>
  <c r="P80" i="27" s="1"/>
  <c r="A27" i="39"/>
  <c r="A28" i="39"/>
  <c r="P27" i="39"/>
  <c r="G24" i="39" l="1"/>
  <c r="N24" i="39"/>
  <c r="Q24" i="39" s="1"/>
  <c r="G80" i="27"/>
  <c r="N80" i="27"/>
  <c r="N27" i="39"/>
  <c r="Q27" i="39" s="1"/>
  <c r="G27" i="39"/>
  <c r="P23" i="39" l="1"/>
  <c r="N23" i="39"/>
  <c r="G23" i="39"/>
  <c r="A23" i="39"/>
  <c r="P34" i="27"/>
  <c r="N34" i="27"/>
  <c r="Q34" i="27" s="1"/>
  <c r="G34" i="27"/>
  <c r="B47" i="39"/>
  <c r="B48" i="39"/>
  <c r="B49" i="39"/>
  <c r="B50" i="39"/>
  <c r="B51" i="39"/>
  <c r="B52" i="39"/>
  <c r="B53" i="39"/>
  <c r="B46" i="39"/>
  <c r="P22" i="39"/>
  <c r="N22" i="39"/>
  <c r="G22" i="39"/>
  <c r="A22" i="39"/>
  <c r="O16" i="47"/>
  <c r="P16" i="47" s="1"/>
  <c r="N16" i="47"/>
  <c r="G16" i="47"/>
  <c r="A16" i="47"/>
  <c r="F19" i="48"/>
  <c r="G19" i="48" s="1"/>
  <c r="F18" i="48"/>
  <c r="G18" i="48" s="1"/>
  <c r="G20" i="48" s="1"/>
  <c r="F15" i="48"/>
  <c r="G15" i="48" s="1"/>
  <c r="F14" i="48"/>
  <c r="G14" i="48" s="1"/>
  <c r="G16" i="48" s="1"/>
  <c r="P19" i="48"/>
  <c r="N19" i="48"/>
  <c r="J19" i="48"/>
  <c r="J18" i="48"/>
  <c r="P15" i="48"/>
  <c r="N15" i="48"/>
  <c r="A15" i="48"/>
  <c r="O14" i="48"/>
  <c r="P14" i="48" s="1"/>
  <c r="N14" i="48"/>
  <c r="K14" i="48"/>
  <c r="A14" i="48"/>
  <c r="H2" i="48"/>
  <c r="H2" i="39"/>
  <c r="H2" i="40"/>
  <c r="H2" i="42"/>
  <c r="H2" i="43"/>
  <c r="H2" i="44"/>
  <c r="H2" i="45"/>
  <c r="H2" i="46"/>
  <c r="H2" i="27"/>
  <c r="Q16" i="47" l="1"/>
  <c r="Q23" i="39"/>
  <c r="Q22" i="39"/>
  <c r="Q19" i="48"/>
  <c r="P18" i="48"/>
  <c r="N18" i="48"/>
  <c r="Q18" i="48" s="1"/>
  <c r="Q14" i="48"/>
  <c r="G18" i="47" l="1"/>
  <c r="G17" i="47"/>
  <c r="G15" i="47"/>
  <c r="G14" i="47"/>
  <c r="G13" i="47"/>
  <c r="G12" i="47"/>
  <c r="G11" i="47"/>
  <c r="G10" i="47"/>
  <c r="A11" i="47"/>
  <c r="A12" i="47"/>
  <c r="A13" i="47"/>
  <c r="A14" i="47"/>
  <c r="A15" i="47"/>
  <c r="A17" i="47"/>
  <c r="A18" i="47"/>
  <c r="A10" i="47"/>
  <c r="H2" i="47"/>
  <c r="T18" i="47"/>
  <c r="N18" i="47" s="1"/>
  <c r="P18" i="47"/>
  <c r="O17" i="47"/>
  <c r="P17" i="47" s="1"/>
  <c r="N17" i="47"/>
  <c r="O15" i="47"/>
  <c r="P15" i="47" s="1"/>
  <c r="N15" i="47"/>
  <c r="O14" i="47"/>
  <c r="P14" i="47" s="1"/>
  <c r="N14" i="47"/>
  <c r="Q14" i="47" s="1"/>
  <c r="O13" i="47"/>
  <c r="P13" i="47" s="1"/>
  <c r="N13" i="47"/>
  <c r="P12" i="47"/>
  <c r="N12" i="47"/>
  <c r="J12" i="47"/>
  <c r="P11" i="47"/>
  <c r="N11" i="47"/>
  <c r="O10" i="47"/>
  <c r="P10" i="47" s="1"/>
  <c r="N10" i="47"/>
  <c r="K10" i="47"/>
  <c r="B27" i="46"/>
  <c r="B28" i="46"/>
  <c r="B29" i="46"/>
  <c r="B30" i="46"/>
  <c r="B31" i="46"/>
  <c r="B26" i="46"/>
  <c r="G20" i="46"/>
  <c r="G19" i="46"/>
  <c r="G18" i="46"/>
  <c r="G17" i="46"/>
  <c r="G16" i="46"/>
  <c r="G15" i="46"/>
  <c r="G14" i="46"/>
  <c r="G13" i="46"/>
  <c r="P22" i="46"/>
  <c r="N22" i="46"/>
  <c r="Q22" i="46" s="1"/>
  <c r="G22" i="46"/>
  <c r="A22" i="46"/>
  <c r="T21" i="46"/>
  <c r="N21" i="46" s="1"/>
  <c r="Q21" i="46" s="1"/>
  <c r="P21" i="46"/>
  <c r="A21" i="46"/>
  <c r="O20" i="46"/>
  <c r="P20" i="46" s="1"/>
  <c r="N20" i="46"/>
  <c r="A20" i="46"/>
  <c r="O19" i="46"/>
  <c r="P19" i="46"/>
  <c r="A19" i="46"/>
  <c r="O18" i="46"/>
  <c r="P18" i="46"/>
  <c r="A18" i="46"/>
  <c r="O17" i="46"/>
  <c r="P17" i="46" s="1"/>
  <c r="N17" i="46"/>
  <c r="A17" i="46"/>
  <c r="P16" i="46"/>
  <c r="N16" i="46"/>
  <c r="J16" i="46"/>
  <c r="A16" i="46"/>
  <c r="N15" i="46"/>
  <c r="A15" i="46"/>
  <c r="P14" i="46"/>
  <c r="N14" i="46"/>
  <c r="A14" i="46"/>
  <c r="O13" i="46"/>
  <c r="P13" i="46" s="1"/>
  <c r="N13" i="46"/>
  <c r="K13" i="46"/>
  <c r="A13" i="46"/>
  <c r="G24" i="45"/>
  <c r="G23" i="45"/>
  <c r="G22" i="45"/>
  <c r="G19" i="45"/>
  <c r="G21" i="45"/>
  <c r="G20" i="45"/>
  <c r="G17" i="45"/>
  <c r="G15" i="45"/>
  <c r="T24" i="45"/>
  <c r="N24" i="45" s="1"/>
  <c r="P24" i="45"/>
  <c r="P26" i="45"/>
  <c r="Q26" i="45"/>
  <c r="G26" i="45"/>
  <c r="T25" i="45"/>
  <c r="N25" i="45" s="1"/>
  <c r="P25" i="45"/>
  <c r="N23" i="45"/>
  <c r="P23" i="45"/>
  <c r="P22" i="45"/>
  <c r="A22" i="45"/>
  <c r="P19" i="45"/>
  <c r="A19" i="45"/>
  <c r="P21" i="45"/>
  <c r="A21" i="45"/>
  <c r="A18" i="45"/>
  <c r="P20" i="45"/>
  <c r="A20" i="45"/>
  <c r="P17" i="45"/>
  <c r="Q17" i="45" s="1"/>
  <c r="A17" i="45"/>
  <c r="P15" i="45"/>
  <c r="A15" i="45"/>
  <c r="P14" i="45"/>
  <c r="Q14" i="45" s="1"/>
  <c r="A14" i="45"/>
  <c r="B27" i="43"/>
  <c r="B28" i="43"/>
  <c r="B29" i="43"/>
  <c r="B30" i="43"/>
  <c r="B31" i="43"/>
  <c r="B26" i="43"/>
  <c r="B22" i="44"/>
  <c r="B23" i="44"/>
  <c r="B24" i="44"/>
  <c r="B25" i="44"/>
  <c r="B26" i="44"/>
  <c r="B21" i="44"/>
  <c r="V17" i="44"/>
  <c r="T17" i="44"/>
  <c r="P17" i="44"/>
  <c r="G17" i="44"/>
  <c r="A17" i="44"/>
  <c r="P16" i="44"/>
  <c r="N16" i="44"/>
  <c r="J16" i="44"/>
  <c r="A16" i="44"/>
  <c r="P15" i="44"/>
  <c r="N15" i="44"/>
  <c r="J15" i="44"/>
  <c r="G15" i="44"/>
  <c r="A15" i="44"/>
  <c r="P14" i="44"/>
  <c r="N14" i="44"/>
  <c r="G14" i="44"/>
  <c r="A14" i="44"/>
  <c r="O13" i="44"/>
  <c r="P13" i="44" s="1"/>
  <c r="N13" i="44"/>
  <c r="K13" i="44"/>
  <c r="G13" i="44"/>
  <c r="A13" i="44"/>
  <c r="V22" i="43"/>
  <c r="T22" i="43"/>
  <c r="P22" i="43"/>
  <c r="G22" i="43"/>
  <c r="A22" i="43"/>
  <c r="O21" i="43"/>
  <c r="P21" i="43" s="1"/>
  <c r="L21" i="43"/>
  <c r="N21" i="43" s="1"/>
  <c r="A21" i="43"/>
  <c r="O20" i="43"/>
  <c r="P20" i="43" s="1"/>
  <c r="N20" i="43"/>
  <c r="G20" i="43"/>
  <c r="A20" i="43"/>
  <c r="O19" i="43"/>
  <c r="P19" i="43" s="1"/>
  <c r="N19" i="43"/>
  <c r="G19" i="43"/>
  <c r="A19" i="43"/>
  <c r="O18" i="43"/>
  <c r="P18" i="43" s="1"/>
  <c r="N18" i="43"/>
  <c r="G18" i="43"/>
  <c r="A18" i="43"/>
  <c r="P17" i="43"/>
  <c r="O17" i="43"/>
  <c r="N17" i="43"/>
  <c r="G17" i="43"/>
  <c r="A17" i="43"/>
  <c r="P16" i="43"/>
  <c r="N16" i="43"/>
  <c r="Q16" i="43" s="1"/>
  <c r="J16" i="43"/>
  <c r="G16" i="43"/>
  <c r="A16" i="43"/>
  <c r="P15" i="43"/>
  <c r="N15" i="43"/>
  <c r="J15" i="43"/>
  <c r="G15" i="43"/>
  <c r="A15" i="43"/>
  <c r="P14" i="43"/>
  <c r="N14" i="43"/>
  <c r="G14" i="43"/>
  <c r="A14" i="43"/>
  <c r="O13" i="43"/>
  <c r="P13" i="43" s="1"/>
  <c r="N13" i="43"/>
  <c r="K13" i="43"/>
  <c r="G13" i="43"/>
  <c r="A13" i="43"/>
  <c r="B33" i="42"/>
  <c r="B30" i="42"/>
  <c r="B31" i="42"/>
  <c r="B32" i="42"/>
  <c r="B34" i="42"/>
  <c r="B35" i="42"/>
  <c r="A13" i="42"/>
  <c r="G13" i="42"/>
  <c r="K13" i="42"/>
  <c r="N13" i="42"/>
  <c r="O13" i="42"/>
  <c r="P13" i="42"/>
  <c r="Q13" i="42"/>
  <c r="A14" i="42"/>
  <c r="G14" i="42"/>
  <c r="N14" i="42"/>
  <c r="P14" i="42"/>
  <c r="A15" i="42"/>
  <c r="G15" i="42"/>
  <c r="J15" i="42"/>
  <c r="N15" i="42"/>
  <c r="P15" i="42"/>
  <c r="Q15" i="42"/>
  <c r="A16" i="42"/>
  <c r="G16" i="42"/>
  <c r="J16" i="42"/>
  <c r="N16" i="42"/>
  <c r="P16" i="42"/>
  <c r="Q16" i="42"/>
  <c r="A17" i="42"/>
  <c r="G17" i="42"/>
  <c r="N17" i="42"/>
  <c r="O17" i="42"/>
  <c r="P17" i="42"/>
  <c r="Q17" i="42"/>
  <c r="A18" i="42"/>
  <c r="G18" i="42"/>
  <c r="N18" i="42"/>
  <c r="O18" i="42"/>
  <c r="P18" i="42"/>
  <c r="Q18" i="42" s="1"/>
  <c r="A19" i="42"/>
  <c r="G19" i="42"/>
  <c r="N19" i="42"/>
  <c r="O19" i="42"/>
  <c r="P19" i="42"/>
  <c r="A20" i="42"/>
  <c r="G20" i="42"/>
  <c r="N20" i="42"/>
  <c r="O20" i="42"/>
  <c r="P20" i="42"/>
  <c r="Q20" i="42"/>
  <c r="A21" i="42"/>
  <c r="G21" i="42"/>
  <c r="L21" i="42"/>
  <c r="N21" i="42" s="1"/>
  <c r="O21" i="42"/>
  <c r="P21" i="42"/>
  <c r="A22" i="42"/>
  <c r="G22" i="42"/>
  <c r="P22" i="42"/>
  <c r="T22" i="42"/>
  <c r="V22" i="42"/>
  <c r="A23" i="42"/>
  <c r="G23" i="42"/>
  <c r="P23" i="42"/>
  <c r="T23" i="42"/>
  <c r="V23" i="42"/>
  <c r="A24" i="42"/>
  <c r="G24" i="42"/>
  <c r="P24" i="42"/>
  <c r="T24" i="42"/>
  <c r="N24" i="42" s="1"/>
  <c r="Q24" i="42" s="1"/>
  <c r="A25" i="42"/>
  <c r="P25" i="42"/>
  <c r="T25" i="42"/>
  <c r="N25" i="42" s="1"/>
  <c r="Q25" i="42" s="1"/>
  <c r="A26" i="42"/>
  <c r="G26" i="42"/>
  <c r="N26" i="42"/>
  <c r="P26" i="42"/>
  <c r="Q26" i="42"/>
  <c r="P19" i="40"/>
  <c r="N19" i="40"/>
  <c r="J19" i="40"/>
  <c r="G19" i="40"/>
  <c r="A19" i="40"/>
  <c r="P18" i="40"/>
  <c r="N18" i="40"/>
  <c r="Q18" i="40" s="1"/>
  <c r="J18" i="40"/>
  <c r="G18" i="40"/>
  <c r="A18" i="40"/>
  <c r="A14" i="40"/>
  <c r="A16" i="40"/>
  <c r="A17" i="40"/>
  <c r="A20" i="40"/>
  <c r="A21" i="40"/>
  <c r="A22" i="40"/>
  <c r="A13" i="40"/>
  <c r="P22" i="40"/>
  <c r="N22" i="40"/>
  <c r="G22" i="40"/>
  <c r="O21" i="40"/>
  <c r="P21" i="40" s="1"/>
  <c r="N21" i="40"/>
  <c r="O20" i="40"/>
  <c r="P20" i="40" s="1"/>
  <c r="N20" i="40"/>
  <c r="G20" i="40"/>
  <c r="P17" i="40"/>
  <c r="N17" i="40"/>
  <c r="J17" i="40"/>
  <c r="G17" i="40"/>
  <c r="P16" i="40"/>
  <c r="N16" i="40"/>
  <c r="J16" i="40"/>
  <c r="G16" i="40"/>
  <c r="P14" i="40"/>
  <c r="N14" i="40"/>
  <c r="G14" i="40"/>
  <c r="O13" i="40"/>
  <c r="P13" i="40" s="1"/>
  <c r="N13" i="40"/>
  <c r="K13" i="40"/>
  <c r="G13" i="40"/>
  <c r="A14" i="39"/>
  <c r="P42" i="39"/>
  <c r="N42" i="39"/>
  <c r="G42" i="39"/>
  <c r="A42" i="39"/>
  <c r="P41" i="39"/>
  <c r="N41" i="39"/>
  <c r="A41" i="39"/>
  <c r="P40" i="39"/>
  <c r="N40" i="39"/>
  <c r="G40" i="39"/>
  <c r="A40" i="39"/>
  <c r="P39" i="39"/>
  <c r="N39" i="39"/>
  <c r="G39" i="39"/>
  <c r="A39" i="39"/>
  <c r="P38" i="39"/>
  <c r="N38" i="39"/>
  <c r="G38" i="39"/>
  <c r="A38" i="39"/>
  <c r="P37" i="39"/>
  <c r="N37" i="39"/>
  <c r="G37" i="39"/>
  <c r="A37" i="39"/>
  <c r="P36" i="39"/>
  <c r="N36" i="39"/>
  <c r="Q36" i="39" s="1"/>
  <c r="G36" i="39"/>
  <c r="A36" i="39"/>
  <c r="P35" i="39"/>
  <c r="N35" i="39"/>
  <c r="G35" i="39"/>
  <c r="A35" i="39"/>
  <c r="P33" i="39"/>
  <c r="N33" i="39"/>
  <c r="G33" i="39"/>
  <c r="A33" i="39"/>
  <c r="T29" i="39"/>
  <c r="N29" i="39" s="1"/>
  <c r="P29" i="39"/>
  <c r="G29" i="39"/>
  <c r="A29" i="39"/>
  <c r="P28" i="39"/>
  <c r="G28" i="39"/>
  <c r="P26" i="39"/>
  <c r="G26" i="39"/>
  <c r="A26" i="39"/>
  <c r="P25" i="39"/>
  <c r="N25" i="39"/>
  <c r="G25" i="39"/>
  <c r="A25" i="39"/>
  <c r="O21" i="39"/>
  <c r="P21" i="39" s="1"/>
  <c r="N21" i="39"/>
  <c r="G21" i="39"/>
  <c r="A21" i="39"/>
  <c r="O20" i="39"/>
  <c r="P20" i="39" s="1"/>
  <c r="N20" i="39"/>
  <c r="G20" i="39"/>
  <c r="A20" i="39"/>
  <c r="O19" i="39"/>
  <c r="P19" i="39" s="1"/>
  <c r="N19" i="39"/>
  <c r="G19" i="39"/>
  <c r="A19" i="39"/>
  <c r="O18" i="39"/>
  <c r="P18" i="39" s="1"/>
  <c r="N18" i="39"/>
  <c r="G18" i="39"/>
  <c r="A18" i="39"/>
  <c r="P17" i="39"/>
  <c r="N17" i="39"/>
  <c r="J17" i="39"/>
  <c r="G17" i="39"/>
  <c r="A17" i="39"/>
  <c r="G16" i="39"/>
  <c r="A16" i="39"/>
  <c r="P15" i="39"/>
  <c r="N15" i="39"/>
  <c r="G15" i="39"/>
  <c r="A15" i="39"/>
  <c r="O14" i="39"/>
  <c r="P14" i="39" s="1"/>
  <c r="N14" i="39"/>
  <c r="K14" i="39"/>
  <c r="G14" i="39"/>
  <c r="N25" i="27"/>
  <c r="N26" i="27"/>
  <c r="N27" i="27"/>
  <c r="N28" i="27"/>
  <c r="N29" i="27"/>
  <c r="N30" i="27"/>
  <c r="N31" i="27"/>
  <c r="N32" i="27"/>
  <c r="N33" i="27"/>
  <c r="N35" i="27"/>
  <c r="N36" i="27"/>
  <c r="N37" i="27"/>
  <c r="N38" i="27"/>
  <c r="N39" i="27"/>
  <c r="N40" i="27"/>
  <c r="N41" i="27"/>
  <c r="N43" i="27"/>
  <c r="N44" i="27"/>
  <c r="N46" i="27"/>
  <c r="N47" i="27"/>
  <c r="N48" i="27"/>
  <c r="N49" i="27"/>
  <c r="N50" i="27"/>
  <c r="N51" i="27"/>
  <c r="N52" i="27"/>
  <c r="N53" i="27"/>
  <c r="N54" i="27"/>
  <c r="N56" i="27"/>
  <c r="N57" i="27"/>
  <c r="N60" i="27"/>
  <c r="N61" i="27"/>
  <c r="N62" i="27"/>
  <c r="N63" i="27"/>
  <c r="N64" i="27"/>
  <c r="N65" i="27"/>
  <c r="N66" i="27"/>
  <c r="N67" i="27"/>
  <c r="N68" i="27"/>
  <c r="N69" i="27"/>
  <c r="N70" i="27"/>
  <c r="N71" i="27"/>
  <c r="N72" i="27"/>
  <c r="N73" i="27"/>
  <c r="N75" i="27"/>
  <c r="N76" i="27"/>
  <c r="N78" i="27"/>
  <c r="N79" i="27"/>
  <c r="N81" i="27"/>
  <c r="N82" i="27"/>
  <c r="N83" i="27"/>
  <c r="N84" i="27"/>
  <c r="N85" i="27"/>
  <c r="N86" i="27"/>
  <c r="N87" i="27"/>
  <c r="N88" i="27"/>
  <c r="N90" i="27"/>
  <c r="N91" i="27"/>
  <c r="N15" i="27"/>
  <c r="N16" i="27"/>
  <c r="N17" i="27"/>
  <c r="N18" i="27"/>
  <c r="N19" i="27"/>
  <c r="T23" i="27"/>
  <c r="N23" i="27" s="1"/>
  <c r="P23" i="27"/>
  <c r="G23" i="27"/>
  <c r="V22" i="27"/>
  <c r="T22" i="27"/>
  <c r="V21" i="27"/>
  <c r="T21" i="27"/>
  <c r="N20" i="27"/>
  <c r="K59" i="27"/>
  <c r="E59" i="27"/>
  <c r="P58" i="27"/>
  <c r="E55" i="27"/>
  <c r="P15" i="27"/>
  <c r="G15" i="27"/>
  <c r="N55" i="27" l="1"/>
  <c r="J55" i="27"/>
  <c r="G59" i="27"/>
  <c r="J59" i="27"/>
  <c r="Q23" i="27"/>
  <c r="Q23" i="45"/>
  <c r="Q15" i="45"/>
  <c r="Q24" i="45"/>
  <c r="Q25" i="45"/>
  <c r="Q20" i="45"/>
  <c r="Q19" i="45"/>
  <c r="Q22" i="45"/>
  <c r="Q21" i="45"/>
  <c r="Q21" i="39"/>
  <c r="N22" i="27"/>
  <c r="N21" i="27"/>
  <c r="N28" i="39"/>
  <c r="Q28" i="39" s="1"/>
  <c r="Q38" i="39"/>
  <c r="Q13" i="47"/>
  <c r="Q18" i="47"/>
  <c r="Q17" i="47"/>
  <c r="Q12" i="47"/>
  <c r="Q10" i="47"/>
  <c r="Q15" i="47"/>
  <c r="Q17" i="46"/>
  <c r="Q20" i="46"/>
  <c r="Q13" i="46"/>
  <c r="Q16" i="46"/>
  <c r="F21" i="46"/>
  <c r="G21" i="46" s="1"/>
  <c r="J15" i="46"/>
  <c r="N18" i="46"/>
  <c r="Q18" i="46" s="1"/>
  <c r="P15" i="46"/>
  <c r="Q15" i="46" s="1"/>
  <c r="N19" i="46"/>
  <c r="Q19" i="46" s="1"/>
  <c r="P18" i="45"/>
  <c r="Q18" i="45" s="1"/>
  <c r="G14" i="45"/>
  <c r="G18" i="45"/>
  <c r="N17" i="44"/>
  <c r="Q17" i="44" s="1"/>
  <c r="F16" i="44"/>
  <c r="G16" i="44" s="1"/>
  <c r="Q13" i="44"/>
  <c r="Q15" i="44"/>
  <c r="Q16" i="44"/>
  <c r="G18" i="44"/>
  <c r="Q18" i="43"/>
  <c r="F21" i="43"/>
  <c r="G21" i="43" s="1"/>
  <c r="G23" i="43" s="1"/>
  <c r="Q15" i="43"/>
  <c r="Q17" i="43"/>
  <c r="N22" i="43"/>
  <c r="Q22" i="43" s="1"/>
  <c r="Q20" i="43"/>
  <c r="Q13" i="43"/>
  <c r="Q19" i="43"/>
  <c r="Q21" i="43"/>
  <c r="F25" i="42"/>
  <c r="G25" i="42" s="1"/>
  <c r="N23" i="42"/>
  <c r="Q23" i="42" s="1"/>
  <c r="Q21" i="42"/>
  <c r="Q19" i="42"/>
  <c r="N22" i="42"/>
  <c r="Q22" i="42" s="1"/>
  <c r="Q19" i="40"/>
  <c r="G27" i="42"/>
  <c r="F21" i="40"/>
  <c r="G21" i="40" s="1"/>
  <c r="G23" i="40" s="1"/>
  <c r="Q22" i="40"/>
  <c r="Q17" i="40"/>
  <c r="Q20" i="40"/>
  <c r="Q16" i="40"/>
  <c r="Q21" i="40"/>
  <c r="Q13" i="40"/>
  <c r="Q25" i="39"/>
  <c r="Q35" i="39"/>
  <c r="Q19" i="39"/>
  <c r="N26" i="39"/>
  <c r="Q26" i="39" s="1"/>
  <c r="Q29" i="39"/>
  <c r="F41" i="39"/>
  <c r="G41" i="39" s="1"/>
  <c r="Q33" i="39"/>
  <c r="Q42" i="39"/>
  <c r="Q39" i="39"/>
  <c r="Q37" i="39"/>
  <c r="Q41" i="39"/>
  <c r="Q40" i="39"/>
  <c r="Q18" i="39"/>
  <c r="Q17" i="39"/>
  <c r="Q14" i="39"/>
  <c r="Q20" i="39"/>
  <c r="J16" i="39"/>
  <c r="N16" i="39"/>
  <c r="P16" i="39"/>
  <c r="N59" i="27"/>
  <c r="N58" i="27"/>
  <c r="G58" i="27"/>
  <c r="P59" i="27"/>
  <c r="P55" i="27"/>
  <c r="Q55" i="27" s="1"/>
  <c r="G55" i="27"/>
  <c r="F25" i="45" l="1"/>
  <c r="G25" i="45" s="1"/>
  <c r="G27" i="45" s="1"/>
  <c r="H40" i="45" s="1"/>
  <c r="G23" i="46"/>
  <c r="G19" i="44"/>
  <c r="G20" i="44"/>
  <c r="G24" i="43"/>
  <c r="G25" i="43" s="1"/>
  <c r="G28" i="42"/>
  <c r="G29" i="42" s="1"/>
  <c r="G24" i="40"/>
  <c r="G25" i="40" s="1"/>
  <c r="Q16" i="39"/>
  <c r="G43" i="39"/>
  <c r="Q59" i="27"/>
  <c r="G24" i="46" l="1"/>
  <c r="G25" i="46" s="1"/>
  <c r="G44" i="39"/>
  <c r="G45" i="39" s="1"/>
  <c r="T24" i="27"/>
  <c r="N24" i="27" s="1"/>
  <c r="P56" i="27"/>
  <c r="P54" i="27"/>
  <c r="O19" i="27"/>
  <c r="Q54" i="27" l="1"/>
  <c r="Q56" i="27"/>
  <c r="G54" i="27"/>
  <c r="G56" i="27"/>
  <c r="O17" i="27"/>
  <c r="P17" i="27" s="1"/>
  <c r="Q17" i="27" s="1"/>
  <c r="O16" i="27"/>
  <c r="P16" i="27" s="1"/>
  <c r="Q16" i="27" s="1"/>
  <c r="P18" i="27"/>
  <c r="Q18" i="27" s="1"/>
  <c r="P19" i="27"/>
  <c r="Q19" i="27" s="1"/>
  <c r="P20" i="27"/>
  <c r="Q20" i="27" s="1"/>
  <c r="P21" i="27"/>
  <c r="Q21" i="27" s="1"/>
  <c r="P22" i="27"/>
  <c r="Q22" i="27" s="1"/>
  <c r="P24" i="27"/>
  <c r="Q24" i="27" s="1"/>
  <c r="P25" i="27"/>
  <c r="Q25" i="27" s="1"/>
  <c r="P26" i="27"/>
  <c r="Q26" i="27" s="1"/>
  <c r="P27" i="27"/>
  <c r="Q27" i="27" s="1"/>
  <c r="P28" i="27"/>
  <c r="Q28" i="27" s="1"/>
  <c r="P29" i="27"/>
  <c r="Q29" i="27" s="1"/>
  <c r="P30" i="27"/>
  <c r="Q30" i="27" s="1"/>
  <c r="P31" i="27"/>
  <c r="Q31" i="27" s="1"/>
  <c r="P32" i="27"/>
  <c r="Q32" i="27" s="1"/>
  <c r="P33" i="27"/>
  <c r="Q33" i="27" s="1"/>
  <c r="P35" i="27"/>
  <c r="Q35" i="27" s="1"/>
  <c r="P36" i="27"/>
  <c r="Q36" i="27" s="1"/>
  <c r="P37" i="27"/>
  <c r="Q37" i="27" s="1"/>
  <c r="P38" i="27"/>
  <c r="Q38" i="27" s="1"/>
  <c r="P39" i="27"/>
  <c r="Q39" i="27" s="1"/>
  <c r="P40" i="27"/>
  <c r="Q40" i="27" s="1"/>
  <c r="P41" i="27"/>
  <c r="Q41" i="27" s="1"/>
  <c r="P43" i="27"/>
  <c r="Q43" i="27" s="1"/>
  <c r="P44" i="27"/>
  <c r="Q44" i="27" s="1"/>
  <c r="P46" i="27"/>
  <c r="Q46" i="27" s="1"/>
  <c r="P47" i="27"/>
  <c r="P48" i="27"/>
  <c r="Q48" i="27" s="1"/>
  <c r="P49" i="27"/>
  <c r="P50" i="27"/>
  <c r="P51" i="27"/>
  <c r="P52" i="27"/>
  <c r="P53" i="27"/>
  <c r="P57" i="27"/>
  <c r="P60" i="27"/>
  <c r="P61" i="27"/>
  <c r="P62" i="27"/>
  <c r="P63" i="27"/>
  <c r="P64" i="27"/>
  <c r="P65" i="27"/>
  <c r="P66" i="27"/>
  <c r="P67" i="27"/>
  <c r="P68" i="27"/>
  <c r="P69" i="27"/>
  <c r="P70" i="27"/>
  <c r="P71" i="27"/>
  <c r="P72" i="27"/>
  <c r="P73" i="27"/>
  <c r="P75" i="27"/>
  <c r="P76" i="27"/>
  <c r="P78" i="27"/>
  <c r="P79" i="27"/>
  <c r="P81" i="27"/>
  <c r="P82" i="27"/>
  <c r="P83" i="27"/>
  <c r="P84" i="27"/>
  <c r="P85" i="27"/>
  <c r="P86" i="27"/>
  <c r="P87" i="27"/>
  <c r="P88" i="27"/>
  <c r="P90" i="27"/>
  <c r="P91" i="27"/>
  <c r="G91" i="27"/>
  <c r="G11" i="18" l="1"/>
  <c r="K59" i="10" l="1"/>
  <c r="K47" i="27"/>
  <c r="Q47" i="27" s="1"/>
  <c r="K49" i="27" l="1"/>
  <c r="Q49" i="27" s="1"/>
  <c r="L55" i="14" l="1"/>
  <c r="L18" i="14"/>
  <c r="L49" i="14"/>
  <c r="L47" i="14"/>
  <c r="L46" i="14"/>
  <c r="L43" i="14"/>
  <c r="L44" i="14"/>
  <c r="L37" i="14"/>
  <c r="L36" i="14"/>
  <c r="B15" i="8" l="1"/>
  <c r="L48" i="14"/>
  <c r="G39" i="14" l="1"/>
  <c r="G40" i="14"/>
  <c r="G88" i="27" l="1"/>
  <c r="G87" i="27"/>
  <c r="G86" i="27"/>
  <c r="G85" i="27"/>
  <c r="G84" i="27"/>
  <c r="G83" i="27"/>
  <c r="G82" i="27"/>
  <c r="G81" i="27"/>
  <c r="G79" i="27"/>
  <c r="G78" i="27"/>
  <c r="G76" i="27"/>
  <c r="G75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7" i="27"/>
  <c r="G53" i="27"/>
  <c r="G52" i="27"/>
  <c r="G51" i="27"/>
  <c r="G50" i="27"/>
  <c r="G48" i="27"/>
  <c r="G47" i="27"/>
  <c r="G46" i="27"/>
  <c r="G44" i="27"/>
  <c r="G43" i="27"/>
  <c r="G41" i="27"/>
  <c r="G40" i="27"/>
  <c r="G39" i="27"/>
  <c r="G38" i="27"/>
  <c r="G37" i="27"/>
  <c r="G36" i="27"/>
  <c r="G35" i="27"/>
  <c r="G33" i="27"/>
  <c r="G32" i="27"/>
  <c r="G31" i="27"/>
  <c r="G30" i="27"/>
  <c r="G29" i="27"/>
  <c r="G28" i="27"/>
  <c r="G27" i="27"/>
  <c r="G26" i="27"/>
  <c r="G25" i="27"/>
  <c r="G24" i="27"/>
  <c r="G22" i="27"/>
  <c r="G21" i="27"/>
  <c r="G20" i="27"/>
  <c r="G19" i="27"/>
  <c r="G18" i="27"/>
  <c r="G17" i="27"/>
  <c r="G16" i="27"/>
  <c r="F90" i="27" l="1"/>
  <c r="G90" i="27" s="1"/>
  <c r="G92" i="27" s="1"/>
  <c r="G93" i="27" s="1"/>
  <c r="G94" i="27" s="1"/>
  <c r="N18" i="14" l="1"/>
  <c r="G13" i="18" l="1"/>
  <c r="G15" i="18"/>
  <c r="G14" i="18"/>
  <c r="G12" i="18"/>
  <c r="F23" i="15"/>
  <c r="F22" i="15"/>
  <c r="F21" i="15"/>
  <c r="F18" i="15"/>
  <c r="F16" i="15"/>
  <c r="F15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0" i="15"/>
  <c r="F29" i="15"/>
  <c r="F28" i="15"/>
  <c r="F27" i="15"/>
  <c r="F26" i="15"/>
  <c r="F25" i="15"/>
  <c r="F24" i="15"/>
  <c r="F20" i="15"/>
  <c r="F19" i="15"/>
  <c r="F17" i="15"/>
  <c r="F14" i="15"/>
  <c r="F13" i="15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J26" i="8"/>
  <c r="I27" i="8"/>
  <c r="I28" i="8"/>
  <c r="I29" i="8"/>
  <c r="J29" i="8" s="1"/>
  <c r="I30" i="8"/>
  <c r="J30" i="8" s="1"/>
  <c r="I31" i="8"/>
  <c r="I32" i="8"/>
  <c r="J32" i="8" s="1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J47" i="8"/>
  <c r="I48" i="8"/>
  <c r="J48" i="8" s="1"/>
  <c r="I49" i="8"/>
  <c r="J49" i="8" s="1"/>
  <c r="I50" i="8"/>
  <c r="J50" i="8" s="1"/>
  <c r="I51" i="8"/>
  <c r="J51" i="8" s="1"/>
  <c r="I52" i="8"/>
  <c r="I53" i="8"/>
  <c r="I54" i="8"/>
  <c r="I55" i="8"/>
  <c r="I56" i="8"/>
  <c r="I57" i="8"/>
  <c r="I58" i="8"/>
  <c r="I59" i="8"/>
  <c r="I60" i="8"/>
  <c r="I61" i="8"/>
  <c r="I62" i="8"/>
  <c r="J62" i="8"/>
  <c r="I63" i="8"/>
  <c r="I64" i="8"/>
  <c r="I65" i="8"/>
  <c r="J65" i="8"/>
  <c r="I66" i="8"/>
  <c r="J66" i="8" s="1"/>
  <c r="I67" i="8"/>
  <c r="J67" i="8" s="1"/>
  <c r="I68" i="8"/>
  <c r="I69" i="8"/>
  <c r="J69" i="8" s="1"/>
  <c r="I70" i="8"/>
  <c r="I71" i="8"/>
  <c r="I72" i="8"/>
  <c r="I73" i="8"/>
  <c r="I74" i="8"/>
  <c r="I75" i="8"/>
  <c r="I76" i="8"/>
  <c r="I77" i="8"/>
  <c r="I78" i="8"/>
  <c r="I12" i="8"/>
  <c r="H13" i="8"/>
  <c r="J13" i="8" s="1"/>
  <c r="H14" i="8"/>
  <c r="J14" i="8" s="1"/>
  <c r="H15" i="8"/>
  <c r="J15" i="8"/>
  <c r="H16" i="8"/>
  <c r="J16" i="8"/>
  <c r="H17" i="8"/>
  <c r="J17" i="8" s="1"/>
  <c r="H18" i="8"/>
  <c r="J18" i="8" s="1"/>
  <c r="H19" i="8"/>
  <c r="J19" i="8" s="1"/>
  <c r="H20" i="8"/>
  <c r="J20" i="8" s="1"/>
  <c r="H21" i="8"/>
  <c r="J21" i="8" s="1"/>
  <c r="H22" i="8"/>
  <c r="J22" i="8" s="1"/>
  <c r="H23" i="8"/>
  <c r="J23" i="8" s="1"/>
  <c r="H24" i="8"/>
  <c r="J24" i="8" s="1"/>
  <c r="H25" i="8"/>
  <c r="J25" i="8" s="1"/>
  <c r="H26" i="8"/>
  <c r="H27" i="8"/>
  <c r="J27" i="8" s="1"/>
  <c r="H28" i="8"/>
  <c r="J28" i="8" s="1"/>
  <c r="H29" i="8"/>
  <c r="H30" i="8"/>
  <c r="H31" i="8"/>
  <c r="J31" i="8" s="1"/>
  <c r="H32" i="8"/>
  <c r="H33" i="8"/>
  <c r="J33" i="8" s="1"/>
  <c r="H34" i="8"/>
  <c r="J34" i="8" s="1"/>
  <c r="H35" i="8"/>
  <c r="J35" i="8" s="1"/>
  <c r="H36" i="8"/>
  <c r="J36" i="8" s="1"/>
  <c r="H37" i="8"/>
  <c r="J37" i="8" s="1"/>
  <c r="H38" i="8"/>
  <c r="J38" i="8" s="1"/>
  <c r="H39" i="8"/>
  <c r="J39" i="8" s="1"/>
  <c r="H40" i="8"/>
  <c r="J40" i="8" s="1"/>
  <c r="H41" i="8"/>
  <c r="H42" i="8"/>
  <c r="H43" i="8"/>
  <c r="H44" i="8"/>
  <c r="J44" i="8" s="1"/>
  <c r="H45" i="8"/>
  <c r="H46" i="8"/>
  <c r="H47" i="8"/>
  <c r="H48" i="8"/>
  <c r="H49" i="8"/>
  <c r="H50" i="8"/>
  <c r="H51" i="8"/>
  <c r="H52" i="8"/>
  <c r="J52" i="8"/>
  <c r="H53" i="8"/>
  <c r="H54" i="8"/>
  <c r="J54" i="8" s="1"/>
  <c r="H55" i="8"/>
  <c r="J55" i="8" s="1"/>
  <c r="H56" i="8"/>
  <c r="J56" i="8" s="1"/>
  <c r="H57" i="8"/>
  <c r="J57" i="8" s="1"/>
  <c r="H58" i="8"/>
  <c r="J58" i="8" s="1"/>
  <c r="H59" i="8"/>
  <c r="J59" i="8" s="1"/>
  <c r="H60" i="8"/>
  <c r="H61" i="8"/>
  <c r="H62" i="8"/>
  <c r="H63" i="8"/>
  <c r="J63" i="8" s="1"/>
  <c r="H64" i="8"/>
  <c r="J64" i="8" s="1"/>
  <c r="H65" i="8"/>
  <c r="H66" i="8"/>
  <c r="H67" i="8"/>
  <c r="H68" i="8"/>
  <c r="J68" i="8" s="1"/>
  <c r="H69" i="8"/>
  <c r="H70" i="8"/>
  <c r="J70" i="8" s="1"/>
  <c r="H71" i="8"/>
  <c r="J71" i="8" s="1"/>
  <c r="H72" i="8"/>
  <c r="J72" i="8" s="1"/>
  <c r="H73" i="8"/>
  <c r="J73" i="8" s="1"/>
  <c r="H74" i="8"/>
  <c r="J74" i="8" s="1"/>
  <c r="H75" i="8"/>
  <c r="J75" i="8" s="1"/>
  <c r="H76" i="8"/>
  <c r="J76" i="8" s="1"/>
  <c r="H77" i="8"/>
  <c r="J77" i="8" s="1"/>
  <c r="H78" i="8"/>
  <c r="J78" i="8" s="1"/>
  <c r="H12" i="8"/>
  <c r="J12" i="8" s="1"/>
  <c r="J41" i="8"/>
  <c r="J42" i="8"/>
  <c r="J43" i="8"/>
  <c r="J45" i="8"/>
  <c r="J46" i="8"/>
  <c r="J53" i="8"/>
  <c r="J60" i="8"/>
  <c r="J61" i="8"/>
  <c r="G12" i="8"/>
  <c r="G80" i="8" s="1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79" i="8" s="1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12" i="14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31" i="15" l="1"/>
  <c r="F98" i="10"/>
  <c r="F99" i="10" s="1"/>
  <c r="F100" i="10" s="1"/>
  <c r="F42" i="10"/>
  <c r="F43" i="10" s="1"/>
  <c r="F44" i="10" s="1"/>
  <c r="F57" i="15"/>
  <c r="F58" i="15" s="1"/>
  <c r="F59" i="15" s="1"/>
  <c r="E81" i="14"/>
  <c r="G81" i="14" s="1"/>
  <c r="G82" i="14" s="1"/>
  <c r="J79" i="8"/>
  <c r="J81" i="8"/>
  <c r="F32" i="15"/>
  <c r="F33" i="15" s="1"/>
  <c r="F102" i="10" l="1"/>
  <c r="F61" i="15"/>
</calcChain>
</file>

<file path=xl/sharedStrings.xml><?xml version="1.0" encoding="utf-8"?>
<sst xmlns="http://schemas.openxmlformats.org/spreadsheetml/2006/main" count="2044" uniqueCount="741">
  <si>
    <t xml:space="preserve"> </t>
    <phoneticPr fontId="3" type="noConversion"/>
  </si>
  <si>
    <t>KL</t>
  </si>
  <si>
    <t>SM</t>
  </si>
  <si>
    <t>M</t>
  </si>
  <si>
    <t>ST</t>
  </si>
  <si>
    <t>PC</t>
  </si>
  <si>
    <t>SM</t>
    <phoneticPr fontId="5" type="noConversion"/>
  </si>
  <si>
    <t>M</t>
    <phoneticPr fontId="5" type="noConversion"/>
  </si>
  <si>
    <t>ST</t>
    <phoneticPr fontId="5" type="noConversion"/>
  </si>
  <si>
    <t>M</t>
    <phoneticPr fontId="3" type="noConversion"/>
  </si>
  <si>
    <t>SM</t>
    <phoneticPr fontId="3" type="noConversion"/>
  </si>
  <si>
    <t>ST</t>
    <phoneticPr fontId="3" type="noConversion"/>
  </si>
  <si>
    <t>NT</t>
    <phoneticPr fontId="5" type="noConversion"/>
  </si>
  <si>
    <t>PC</t>
    <phoneticPr fontId="5" type="noConversion"/>
  </si>
  <si>
    <t>報　價　單</t>
    <phoneticPr fontId="3" type="noConversion"/>
  </si>
  <si>
    <t>PC</t>
    <phoneticPr fontId="3" type="noConversion"/>
  </si>
  <si>
    <t>工程金額總計</t>
    <phoneticPr fontId="5" type="noConversion"/>
  </si>
  <si>
    <t>備註</t>
    <phoneticPr fontId="5" type="noConversion"/>
  </si>
  <si>
    <t>KL</t>
    <phoneticPr fontId="5" type="noConversion"/>
  </si>
  <si>
    <t>KG</t>
    <phoneticPr fontId="5" type="noConversion"/>
  </si>
  <si>
    <t>熔接點銲鋼絲網
6mm*150網目*2000mm*3000mm</t>
    <phoneticPr fontId="3" type="noConversion"/>
  </si>
  <si>
    <t>Attn：</t>
    <phoneticPr fontId="3" type="noConversion"/>
  </si>
  <si>
    <t>TEL：</t>
    <phoneticPr fontId="3" type="noConversion"/>
  </si>
  <si>
    <t>FAX：</t>
    <phoneticPr fontId="3" type="noConversion"/>
  </si>
  <si>
    <t>工程編號：</t>
    <phoneticPr fontId="3" type="noConversion"/>
  </si>
  <si>
    <t>行動電話：</t>
    <phoneticPr fontId="3" type="noConversion"/>
  </si>
  <si>
    <t>工程名稱：</t>
    <phoneticPr fontId="3" type="noConversion"/>
  </si>
  <si>
    <t xml:space="preserve">E-mail： </t>
    <phoneticPr fontId="3" type="noConversion"/>
  </si>
  <si>
    <t>編號</t>
    <phoneticPr fontId="5" type="noConversion"/>
  </si>
  <si>
    <t>品                      名</t>
    <phoneticPr fontId="5" type="noConversion"/>
  </si>
  <si>
    <t>單位</t>
    <phoneticPr fontId="5" type="noConversion"/>
  </si>
  <si>
    <t>數  量</t>
    <phoneticPr fontId="5" type="noConversion"/>
  </si>
  <si>
    <t>單  價</t>
    <phoneticPr fontId="5" type="noConversion"/>
  </si>
  <si>
    <t>金   額</t>
    <phoneticPr fontId="5" type="noConversion"/>
  </si>
  <si>
    <t>壹</t>
    <phoneticPr fontId="5" type="noConversion"/>
  </si>
  <si>
    <t>帶料</t>
    <phoneticPr fontId="5" type="noConversion"/>
  </si>
  <si>
    <t>PU建材(南亞) US-10 硬化劑 10KG/CA</t>
    <phoneticPr fontId="3" type="noConversion"/>
  </si>
  <si>
    <t>PU建材(南亞) US-10 主劑 20KG/CA</t>
    <phoneticPr fontId="3" type="noConversion"/>
  </si>
  <si>
    <t>PU建材(南亞) MAT FINISH 硬化劑 5KG/CA
詳規範</t>
    <phoneticPr fontId="3" type="noConversion"/>
  </si>
  <si>
    <t>帶料金額小計</t>
    <phoneticPr fontId="5" type="noConversion"/>
  </si>
  <si>
    <t>帶料管理費</t>
    <phoneticPr fontId="5" type="noConversion"/>
  </si>
  <si>
    <t>帶料金額合計</t>
    <phoneticPr fontId="5" type="noConversion"/>
  </si>
  <si>
    <t>工資</t>
    <phoneticPr fontId="3" type="noConversion"/>
  </si>
  <si>
    <t>工資金額小計</t>
    <phoneticPr fontId="5" type="noConversion"/>
  </si>
  <si>
    <t>工資管理費</t>
    <phoneticPr fontId="5" type="noConversion"/>
  </si>
  <si>
    <t>工資金額合計</t>
    <phoneticPr fontId="5" type="noConversion"/>
  </si>
  <si>
    <t>1.以上報價不含5％營業稅。</t>
    <phoneticPr fontId="5" type="noConversion"/>
  </si>
  <si>
    <t>2.報價有效期限30天，並提供叁年保固。</t>
    <phoneticPr fontId="5" type="noConversion"/>
  </si>
  <si>
    <t>To：</t>
    <phoneticPr fontId="3" type="noConversion"/>
  </si>
  <si>
    <t>工地負責人：陳信寬   Mobile：0988-272090</t>
    <phoneticPr fontId="3" type="noConversion"/>
  </si>
  <si>
    <t>1.以上報價已含5％營業稅，若需要統一編號，請通知專案負責人。</t>
    <phoneticPr fontId="5" type="noConversion"/>
  </si>
  <si>
    <t>輕質樹脂砂漿接著劑(環氧樹脂)
二液型 主劑(20KG/CA) 規範詳圖如強固SP-502AB或同級品</t>
    <phoneticPr fontId="3" type="noConversion"/>
  </si>
  <si>
    <t>輕質樹脂砂漿接著劑(環氧樹脂)
二液型 硬化劑(10KG/CA)規範詳圖如強固SP-502AB或同級品</t>
    <phoneticPr fontId="3" type="noConversion"/>
  </si>
  <si>
    <t>輕質中空陶砂 粒徑0.015-0.3MM
比重0.3-0.4g/cc 詳規範</t>
    <phoneticPr fontId="3" type="noConversion"/>
  </si>
  <si>
    <t>碎石 粒徑3/4"石質堅硬不得含有害之有機物及
其他雜質 品質規範 CNS1240</t>
    <phoneticPr fontId="3" type="noConversion"/>
  </si>
  <si>
    <t>防水劑 液體 
18kg/CAARDEX WPM 54M</t>
    <phoneticPr fontId="3" type="noConversion"/>
  </si>
  <si>
    <t>預拌混凝土140kg/cm2  水泥170Kg
高爐石粉佔總膠結材30％以下　詳規範</t>
    <phoneticPr fontId="3" type="noConversion"/>
  </si>
  <si>
    <t>複合式彈性防水塗膜(0.15kg/m2)
水泥面打底材如 凱詮 超微粒陽離子底油或同級品</t>
    <phoneticPr fontId="3" type="noConversion"/>
  </si>
  <si>
    <t>複合式彈性防水塗膜(1kg/m2)
中上塗料如 凱詮 賽漏踏可或同級品</t>
    <phoneticPr fontId="3" type="noConversion"/>
  </si>
  <si>
    <t xml:space="preserve">玻璃纖維紗蓆 300g/m2*1M W
</t>
    <phoneticPr fontId="3" type="noConversion"/>
  </si>
  <si>
    <t>PU建材(南亞) MAT FINISH 主劑 10KG/CA
詳規範</t>
    <phoneticPr fontId="3" type="noConversion"/>
  </si>
  <si>
    <t>PU建材(南亞) PRIMER 水泥面用 15KG/CA
詳規範</t>
    <phoneticPr fontId="3" type="noConversion"/>
  </si>
  <si>
    <t>矽立康填縫材 SILICONE SEALANT
中性型金屬面用 灰色 600ML/CA 道康寧#991</t>
    <phoneticPr fontId="3" type="noConversion"/>
  </si>
  <si>
    <t>矽利康填縫材 SILICONE SEALANT
中性型 金屬面 深(岩)灰色 300ML/CA道康寧#791</t>
    <phoneticPr fontId="3" type="noConversion"/>
  </si>
  <si>
    <t>丙烯酸樹脂斷熱防水塗料
如:ROOF MATE屋頂伴侶斷熱防水塗料5GL/TK(26.5KG/TK) 或同級品 詳規範</t>
    <phoneticPr fontId="3" type="noConversion"/>
  </si>
  <si>
    <t>手拌1:2:4混凝土搗灌
含震動打平養護</t>
    <phoneticPr fontId="3" type="noConversion"/>
  </si>
  <si>
    <t>預拌混凝土壓送及搗灌
含連絡震動打平及養護</t>
    <phoneticPr fontId="3" type="noConversion"/>
  </si>
  <si>
    <r>
      <rPr>
        <sz val="14"/>
        <rFont val="華康魏碑體"/>
        <family val="4"/>
        <charset val="136"/>
      </rPr>
      <t>落水頭防水收頭處理 工料</t>
    </r>
    <phoneticPr fontId="3" type="noConversion"/>
  </si>
  <si>
    <r>
      <rPr>
        <sz val="14"/>
        <rFont val="華康魏碑體"/>
        <family val="4"/>
        <charset val="136"/>
      </rPr>
      <t>管路周邊防水收頭處理 工料</t>
    </r>
    <phoneticPr fontId="3" type="noConversion"/>
  </si>
  <si>
    <r>
      <t>RC</t>
    </r>
    <r>
      <rPr>
        <sz val="14"/>
        <rFont val="華康魏碑體"/>
        <family val="4"/>
        <charset val="136"/>
      </rPr>
      <t>面打毛 
含廢料合法清運</t>
    </r>
    <phoneticPr fontId="3" type="noConversion"/>
  </si>
  <si>
    <r>
      <rPr>
        <sz val="14"/>
        <rFont val="華康魏碑體"/>
        <family val="4"/>
        <charset val="136"/>
      </rPr>
      <t>吊車承攬 
45噸(天/ST)</t>
    </r>
    <phoneticPr fontId="3" type="noConversion"/>
  </si>
  <si>
    <r>
      <rPr>
        <sz val="14"/>
        <rFont val="華康魏碑體"/>
        <family val="4"/>
        <charset val="136"/>
      </rPr>
      <t>施工面高壓水清洗</t>
    </r>
    <phoneticPr fontId="3" type="noConversion"/>
  </si>
  <si>
    <r>
      <rPr>
        <sz val="14"/>
        <rFont val="華康魏碑體"/>
        <family val="4"/>
        <charset val="136"/>
      </rPr>
      <t>鋼筋除鏽防鏽處理   工料 責任施工</t>
    </r>
    <phoneticPr fontId="3" type="noConversion"/>
  </si>
  <si>
    <r>
      <rPr>
        <sz val="14"/>
        <rFont val="華康魏碑體"/>
        <family val="4"/>
        <charset val="136"/>
      </rPr>
      <t>營建防水緊急入廠搶修基本工資                                      出工1人/天</t>
    </r>
    <phoneticPr fontId="3" type="noConversion"/>
  </si>
  <si>
    <r>
      <t>RC</t>
    </r>
    <r>
      <rPr>
        <sz val="14"/>
        <rFont val="華康魏碑體"/>
        <family val="4"/>
        <charset val="136"/>
      </rPr>
      <t>面打除至露出鋼筋
含混凝土碎塊及殘渣合法清運</t>
    </r>
    <phoneticPr fontId="3" type="noConversion"/>
  </si>
  <si>
    <t>搭鋼管鷹架及拆除(連工帶料立面計算)
須符合勞動部頒布之營造安全衛生設施標準</t>
    <phoneticPr fontId="3" type="noConversion"/>
  </si>
  <si>
    <t>材料/施工細目</t>
    <phoneticPr fontId="5" type="noConversion"/>
  </si>
  <si>
    <t>貳</t>
    <phoneticPr fontId="5" type="noConversion"/>
  </si>
  <si>
    <t>KG</t>
    <phoneticPr fontId="3" type="noConversion"/>
  </si>
  <si>
    <t>ARMAA69</t>
    <phoneticPr fontId="3" type="noConversion"/>
  </si>
  <si>
    <t>ARMAA72</t>
    <phoneticPr fontId="3" type="noConversion"/>
  </si>
  <si>
    <t>ARMSS1</t>
    <phoneticPr fontId="3" type="noConversion"/>
  </si>
  <si>
    <t>ARMSS104</t>
    <phoneticPr fontId="3" type="noConversion"/>
  </si>
  <si>
    <t>KL</t>
    <phoneticPr fontId="3" type="noConversion"/>
  </si>
  <si>
    <t>ARSNS1</t>
    <phoneticPr fontId="3" type="noConversion"/>
  </si>
  <si>
    <t>ARSST154</t>
    <phoneticPr fontId="3" type="noConversion"/>
  </si>
  <si>
    <t>CEPAD89</t>
    <phoneticPr fontId="3" type="noConversion"/>
  </si>
  <si>
    <t>BX</t>
    <phoneticPr fontId="3" type="noConversion"/>
  </si>
  <si>
    <t>CEPCE1</t>
    <phoneticPr fontId="3" type="noConversion"/>
  </si>
  <si>
    <t>CEPRM231</t>
    <phoneticPr fontId="3" type="noConversion"/>
  </si>
  <si>
    <t>CEPRM233</t>
    <phoneticPr fontId="3" type="noConversion"/>
  </si>
  <si>
    <t>FLTPM382</t>
    <phoneticPr fontId="3" type="noConversion"/>
  </si>
  <si>
    <t>FLTPM383</t>
    <phoneticPr fontId="3" type="noConversion"/>
  </si>
  <si>
    <t>HIGGT4</t>
    <phoneticPr fontId="3" type="noConversion"/>
  </si>
  <si>
    <t>MENWE37</t>
    <phoneticPr fontId="3" type="noConversion"/>
  </si>
  <si>
    <t>PUDBA11</t>
    <phoneticPr fontId="3" type="noConversion"/>
  </si>
  <si>
    <t>PUDBA12</t>
    <phoneticPr fontId="3" type="noConversion"/>
  </si>
  <si>
    <t>PUDBA3</t>
    <phoneticPr fontId="3" type="noConversion"/>
  </si>
  <si>
    <t>PUDBA4</t>
    <phoneticPr fontId="3" type="noConversion"/>
  </si>
  <si>
    <t>PUDBA5</t>
    <phoneticPr fontId="3" type="noConversion"/>
  </si>
  <si>
    <t>PUDCP1</t>
    <phoneticPr fontId="3" type="noConversion"/>
  </si>
  <si>
    <t>CA</t>
    <phoneticPr fontId="3" type="noConversion"/>
  </si>
  <si>
    <t>WARSC144</t>
    <phoneticPr fontId="3" type="noConversion"/>
  </si>
  <si>
    <t>WARSC172</t>
    <phoneticPr fontId="3" type="noConversion"/>
  </si>
  <si>
    <t>WARWA38</t>
    <phoneticPr fontId="3" type="noConversion"/>
  </si>
  <si>
    <t>WARWA39</t>
    <phoneticPr fontId="3" type="noConversion"/>
  </si>
  <si>
    <t>WARWA40</t>
    <phoneticPr fontId="3" type="noConversion"/>
  </si>
  <si>
    <t>WARWA41</t>
    <phoneticPr fontId="3" type="noConversion"/>
  </si>
  <si>
    <t>WARWA60</t>
    <phoneticPr fontId="3" type="noConversion"/>
  </si>
  <si>
    <t>WARWA61</t>
    <phoneticPr fontId="3" type="noConversion"/>
  </si>
  <si>
    <t>WARWA93</t>
    <phoneticPr fontId="3" type="noConversion"/>
  </si>
  <si>
    <t>石英砂 上級品</t>
    <phoneticPr fontId="3" type="noConversion"/>
  </si>
  <si>
    <t>溪砂 細砂</t>
    <phoneticPr fontId="3" type="noConversion"/>
  </si>
  <si>
    <t>水泥 50KG/BX 卜特蘭第１種</t>
    <phoneticPr fontId="3" type="noConversion"/>
  </si>
  <si>
    <t>預拌混凝土210kg/cm2  水泥210Kg
高爐石粉佔總膠結材30％以下　詳規範</t>
    <phoneticPr fontId="3" type="noConversion"/>
  </si>
  <si>
    <t>色膏 綠色 (PU建材) 1.5KG/CA</t>
    <phoneticPr fontId="3" type="noConversion"/>
  </si>
  <si>
    <t>矽酸質奈晶修補堵漏劑
如:XYPEX-50.9 1KG/TK 或同級品 詳規範</t>
    <phoneticPr fontId="3" type="noConversion"/>
  </si>
  <si>
    <t>矽酸質奈晶咖瑪養護劑
如XYPEX-XG 18.9GL/TK 或同級品 詳規範</t>
    <phoneticPr fontId="3" type="noConversion"/>
  </si>
  <si>
    <t>矽酸質奈晶濃縮劑
如:XYPEX-XC 27.2KG/TK 或同級品 詳規範</t>
    <phoneticPr fontId="3" type="noConversion"/>
  </si>
  <si>
    <t>雙劑型水性環氧聚酸胺抗高壓防水膜-A
如 Shelter HydroEpoxy300 A劑12.3KG/TK</t>
    <phoneticPr fontId="3" type="noConversion"/>
  </si>
  <si>
    <t>雙劑型水性環氧聚酸胺抗高壓防水膜-B
如 Shelter HydroEpoxy300 B劑12.6KG/TK</t>
    <phoneticPr fontId="3" type="noConversion"/>
  </si>
  <si>
    <t>水性滲透型防水材
20KG/TK Nisiwa L</t>
    <phoneticPr fontId="3" type="noConversion"/>
  </si>
  <si>
    <t>AAD0B</t>
    <phoneticPr fontId="5" type="noConversion"/>
  </si>
  <si>
    <t>AAD0C</t>
    <phoneticPr fontId="5" type="noConversion"/>
  </si>
  <si>
    <t>混凝土車聯絡及壓送</t>
    <phoneticPr fontId="3" type="noConversion"/>
  </si>
  <si>
    <t>AADQ6</t>
    <phoneticPr fontId="5" type="noConversion"/>
  </si>
  <si>
    <t>AAE09</t>
    <phoneticPr fontId="5" type="noConversion"/>
  </si>
  <si>
    <t>AAE0A</t>
    <phoneticPr fontId="5" type="noConversion"/>
  </si>
  <si>
    <t>AAE1A</t>
    <phoneticPr fontId="5" type="noConversion"/>
  </si>
  <si>
    <t>AAEP12</t>
    <phoneticPr fontId="5" type="noConversion"/>
  </si>
  <si>
    <t>AAEP15</t>
    <phoneticPr fontId="5" type="noConversion"/>
  </si>
  <si>
    <t>AAEP17</t>
    <phoneticPr fontId="5" type="noConversion"/>
  </si>
  <si>
    <t>AAEP19</t>
    <phoneticPr fontId="5" type="noConversion"/>
  </si>
  <si>
    <t>AAEP20</t>
    <phoneticPr fontId="5" type="noConversion"/>
  </si>
  <si>
    <t>AAEP21</t>
    <phoneticPr fontId="5" type="noConversion"/>
  </si>
  <si>
    <t>AAEP23</t>
    <phoneticPr fontId="5" type="noConversion"/>
  </si>
  <si>
    <t>AAEP24</t>
    <phoneticPr fontId="5" type="noConversion"/>
  </si>
  <si>
    <t>AAEQI</t>
    <phoneticPr fontId="5" type="noConversion"/>
  </si>
  <si>
    <t>AAEQJ</t>
    <phoneticPr fontId="5" type="noConversion"/>
  </si>
  <si>
    <t>AAEQK</t>
    <phoneticPr fontId="5" type="noConversion"/>
  </si>
  <si>
    <t>AAEQM</t>
    <phoneticPr fontId="5" type="noConversion"/>
  </si>
  <si>
    <t>AAEQN</t>
    <phoneticPr fontId="5" type="noConversion"/>
  </si>
  <si>
    <t>AAEQO</t>
    <phoneticPr fontId="5" type="noConversion"/>
  </si>
  <si>
    <t>AAEQQ</t>
    <phoneticPr fontId="5" type="noConversion"/>
  </si>
  <si>
    <t>AAEQR</t>
    <phoneticPr fontId="5" type="noConversion"/>
  </si>
  <si>
    <t>AAEQS</t>
    <phoneticPr fontId="5" type="noConversion"/>
  </si>
  <si>
    <t>AAEQT</t>
    <phoneticPr fontId="5" type="noConversion"/>
  </si>
  <si>
    <t>AAG1E</t>
    <phoneticPr fontId="5" type="noConversion"/>
  </si>
  <si>
    <t>AAGPP</t>
    <phoneticPr fontId="5" type="noConversion"/>
  </si>
  <si>
    <t>AAJ25</t>
    <phoneticPr fontId="5" type="noConversion"/>
  </si>
  <si>
    <t>AAJ91</t>
    <phoneticPr fontId="5" type="noConversion"/>
  </si>
  <si>
    <t>混凝土地坪面電鋸切割</t>
    <phoneticPr fontId="5" type="noConversion"/>
  </si>
  <si>
    <t>AAJ96</t>
    <phoneticPr fontId="5" type="noConversion"/>
  </si>
  <si>
    <t>AAJP76</t>
    <phoneticPr fontId="5" type="noConversion"/>
  </si>
  <si>
    <t>AAJP77</t>
    <phoneticPr fontId="5" type="noConversion"/>
  </si>
  <si>
    <t>AAJP78</t>
    <phoneticPr fontId="5" type="noConversion"/>
  </si>
  <si>
    <t>AAJR2</t>
    <phoneticPr fontId="5" type="noConversion"/>
  </si>
  <si>
    <t>移動式起重機之吊掛作業人員</t>
    <phoneticPr fontId="5" type="noConversion"/>
  </si>
  <si>
    <t>AAK63</t>
    <phoneticPr fontId="5" type="noConversion"/>
  </si>
  <si>
    <t>移動式起重機之指揮作業人員</t>
    <phoneticPr fontId="5" type="noConversion"/>
  </si>
  <si>
    <t>AAK64</t>
    <phoneticPr fontId="5" type="noConversion"/>
  </si>
  <si>
    <t>AAKR1</t>
    <phoneticPr fontId="5" type="noConversion"/>
  </si>
  <si>
    <t>施工面高壓水清洗</t>
    <phoneticPr fontId="5" type="noConversion"/>
  </si>
  <si>
    <t>AAKR3</t>
    <phoneticPr fontId="5" type="noConversion"/>
  </si>
  <si>
    <t>AAKRL</t>
    <phoneticPr fontId="5" type="noConversion"/>
  </si>
  <si>
    <t>ABAR7</t>
    <phoneticPr fontId="5" type="noConversion"/>
  </si>
  <si>
    <t>地坪機械整體粉光</t>
    <phoneticPr fontId="5" type="noConversion"/>
  </si>
  <si>
    <t>ABB11</t>
    <phoneticPr fontId="5" type="noConversion"/>
  </si>
  <si>
    <t>ABBP11</t>
    <phoneticPr fontId="5" type="noConversion"/>
  </si>
  <si>
    <t>鋼筋除銹防銹處理工料</t>
    <phoneticPr fontId="5" type="noConversion"/>
  </si>
  <si>
    <t>ACCUI</t>
    <phoneticPr fontId="5" type="noConversion"/>
  </si>
  <si>
    <t>施工前作業安全分析(JSA)</t>
    <phoneticPr fontId="5" type="noConversion"/>
  </si>
  <si>
    <t>CHA1B</t>
    <phoneticPr fontId="5" type="noConversion"/>
  </si>
  <si>
    <t>CHAQV</t>
    <phoneticPr fontId="5" type="noConversion"/>
  </si>
  <si>
    <t>SYJM41</t>
    <phoneticPr fontId="5" type="noConversion"/>
  </si>
  <si>
    <t>SYJM42</t>
    <phoneticPr fontId="5" type="noConversion"/>
  </si>
  <si>
    <t>SYJM43</t>
    <phoneticPr fontId="5" type="noConversion"/>
  </si>
  <si>
    <t>SYJM44</t>
    <phoneticPr fontId="5" type="noConversion"/>
  </si>
  <si>
    <t>SYJM45</t>
    <phoneticPr fontId="5" type="noConversion"/>
  </si>
  <si>
    <t>SYJM91</t>
    <phoneticPr fontId="5" type="noConversion"/>
  </si>
  <si>
    <t>SYJM93</t>
    <phoneticPr fontId="5" type="noConversion"/>
  </si>
  <si>
    <t>點銲鋼線網鋪裝
帶鐵絲墊塊</t>
    <phoneticPr fontId="3" type="noConversion"/>
  </si>
  <si>
    <t>舒麗防水材塗佈4m/m  t埋入型
PU、二甲苯外餘工料</t>
    <phoneticPr fontId="3" type="noConversion"/>
  </si>
  <si>
    <t>舒麗防水材塗佈4.2m/m  露出型
PU、二甲苯、色膏外餘工料</t>
    <phoneticPr fontId="3" type="noConversion"/>
  </si>
  <si>
    <t>RC裂縫填灌EPOXY
工料 含針孔補土磨平</t>
    <phoneticPr fontId="3" type="noConversion"/>
  </si>
  <si>
    <t>窗框矽利康填縫材施工 料除外餘帶工料
含泡棉條(含拆除舊有及合法清運)</t>
    <phoneticPr fontId="3" type="noConversion"/>
  </si>
  <si>
    <t>外牆塗佈潑水劑二度
撥水劑除外餘工料 含磁磚面清理乾淨</t>
    <phoneticPr fontId="3" type="noConversion"/>
  </si>
  <si>
    <t>窗框與結構體間隙高壓灌注發泡PU材
工料 含針孔補土磨平</t>
    <phoneticPr fontId="3" type="noConversion"/>
  </si>
  <si>
    <t>窗框與併接處低壓灌注發泡PU材工料
工料 含針孔補土磨平</t>
    <phoneticPr fontId="3" type="noConversion"/>
  </si>
  <si>
    <r>
      <rPr>
        <sz val="14"/>
        <color indexed="8"/>
        <rFont val="華康魏碑體"/>
        <family val="4"/>
        <charset val="136"/>
      </rPr>
      <t>彈性水泥防水塗佈一底一度
塗料除外餘工料</t>
    </r>
    <phoneticPr fontId="3" type="noConversion"/>
  </si>
  <si>
    <t>塗佈屋頂伴侶斷熱防水塗佈一底二度
塗料除外餘工料</t>
    <phoneticPr fontId="3" type="noConversion"/>
  </si>
  <si>
    <t>WPM300水性EXOPY抗高壓防水膜玻纖積層
1.5m/m(一層玻纖)一底三度 含接著面處理</t>
    <phoneticPr fontId="3" type="noConversion"/>
  </si>
  <si>
    <r>
      <rPr>
        <sz val="14"/>
        <color indexed="8"/>
        <rFont val="華康魏碑體"/>
        <family val="4"/>
        <charset val="136"/>
      </rPr>
      <t>玻璃與窗框接合處矽利康防水填縫
含舊料拆除 矽利康除外餘帶工料</t>
    </r>
    <phoneticPr fontId="3" type="noConversion"/>
  </si>
  <si>
    <t>RC頂板面輕質砂漿結構修補填補
樹脂砂漿除外餘工料</t>
    <phoneticPr fontId="3" type="noConversion"/>
  </si>
  <si>
    <t>RC樓版裂縫灌注聚亞銨樹脂止漏劑 工料
含噴塗奈晶保護塗層及養護液</t>
    <phoneticPr fontId="3" type="noConversion"/>
  </si>
  <si>
    <r>
      <rPr>
        <sz val="14"/>
        <color indexed="8"/>
        <rFont val="華康魏碑體"/>
        <family val="4"/>
        <charset val="136"/>
      </rPr>
      <t>伸縮縫專用高彈性填縫材填縫防水處理
南亞SEAL#500工料</t>
    </r>
    <phoneticPr fontId="3" type="noConversion"/>
  </si>
  <si>
    <r>
      <rPr>
        <sz val="14"/>
        <color indexed="8"/>
        <rFont val="華康魏碑體"/>
        <family val="4"/>
        <charset val="136"/>
      </rPr>
      <t>高壓灌注聚亞胺樹脂防水材 工料</t>
    </r>
    <phoneticPr fontId="3" type="noConversion"/>
  </si>
  <si>
    <r>
      <rPr>
        <sz val="14"/>
        <color indexed="8"/>
        <rFont val="華康魏碑體"/>
        <family val="4"/>
        <charset val="136"/>
      </rPr>
      <t>排水管疏通清淤 廢料合法運棄</t>
    </r>
    <phoneticPr fontId="3" type="noConversion"/>
  </si>
  <si>
    <r>
      <rPr>
        <sz val="14"/>
        <color indexed="8"/>
        <rFont val="華康魏碑體"/>
        <family val="4"/>
        <charset val="136"/>
      </rPr>
      <t>混凝土地坪伸縮縫製裝(3cm*3cm)
含PU填縫材 工料</t>
    </r>
    <phoneticPr fontId="3" type="noConversion"/>
  </si>
  <si>
    <r>
      <rPr>
        <sz val="14"/>
        <color indexed="8"/>
        <rFont val="華康魏碑體"/>
        <family val="4"/>
        <charset val="136"/>
      </rPr>
      <t>落水頭防水收頭處理 工料</t>
    </r>
    <phoneticPr fontId="3" type="noConversion"/>
  </si>
  <si>
    <r>
      <rPr>
        <sz val="14"/>
        <color indexed="8"/>
        <rFont val="華康魏碑體"/>
        <family val="4"/>
        <charset val="136"/>
      </rPr>
      <t>管路周邊防水收頭處理 工料</t>
    </r>
    <phoneticPr fontId="3" type="noConversion"/>
  </si>
  <si>
    <r>
      <rPr>
        <sz val="14"/>
        <color indexed="8"/>
        <rFont val="華康魏碑體"/>
        <family val="4"/>
        <charset val="136"/>
      </rPr>
      <t>噴塗奈晶防水塗層兩道及噴塗養護液1道
塗料除外餘工料</t>
    </r>
    <phoneticPr fontId="3" type="noConversion"/>
  </si>
  <si>
    <r>
      <rPr>
        <sz val="14"/>
        <color indexed="8"/>
        <rFont val="華康魏碑體"/>
        <family val="4"/>
        <charset val="136"/>
      </rPr>
      <t>樓板與牆介面轉角奈晶修堵劑施作倒角
5cm*5cm</t>
    </r>
    <phoneticPr fontId="3" type="noConversion"/>
  </si>
  <si>
    <r>
      <rPr>
        <sz val="14"/>
        <color indexed="8"/>
        <rFont val="華康魏碑體"/>
        <family val="4"/>
        <charset val="136"/>
      </rPr>
      <t>不銹鋼蓋製裝 氬銲 工料
工料</t>
    </r>
    <phoneticPr fontId="3" type="noConversion"/>
  </si>
  <si>
    <t>RC面打除製露出鋼筋
含混泥土碎塊及殘渣合法運清</t>
    <phoneticPr fontId="5" type="noConversion"/>
  </si>
  <si>
    <r>
      <rPr>
        <sz val="14"/>
        <color indexed="8"/>
        <rFont val="華康魏碑體"/>
        <family val="4"/>
        <charset val="136"/>
      </rPr>
      <t>混凝土體鑽孔(殘料合法清運)
4"(含)以下</t>
    </r>
    <phoneticPr fontId="5" type="noConversion"/>
  </si>
  <si>
    <r>
      <rPr>
        <sz val="14"/>
        <color indexed="8"/>
        <rFont val="華康魏碑體"/>
        <family val="4"/>
        <charset val="136"/>
      </rPr>
      <t>拆除粉刷層至RC面
含廢料合法運棄</t>
    </r>
    <phoneticPr fontId="3" type="noConversion"/>
  </si>
  <si>
    <r>
      <t xml:space="preserve">拆除隔熱層
</t>
    </r>
    <r>
      <rPr>
        <sz val="14"/>
        <color indexed="8"/>
        <rFont val="華康魏碑體"/>
        <family val="4"/>
        <charset val="136"/>
      </rPr>
      <t>含廢料合法運棄</t>
    </r>
    <phoneticPr fontId="5" type="noConversion"/>
  </si>
  <si>
    <r>
      <rPr>
        <sz val="14"/>
        <color indexed="8"/>
        <rFont val="華康魏碑體"/>
        <family val="4"/>
        <charset val="136"/>
      </rPr>
      <t>拆除隔熱層，防水層及PC層至RC面
含廢料合法運棄</t>
    </r>
    <phoneticPr fontId="5" type="noConversion"/>
  </si>
  <si>
    <r>
      <rPr>
        <sz val="14"/>
        <color indexed="8"/>
        <rFont val="華康魏碑體"/>
        <family val="4"/>
        <charset val="136"/>
      </rPr>
      <t>人工拆除RC(局部，舊鋼筋歸屬廠商)
含廢料合法運棄</t>
    </r>
    <phoneticPr fontId="5" type="noConversion"/>
  </si>
  <si>
    <r>
      <rPr>
        <sz val="14"/>
        <color indexed="8"/>
        <rFont val="華康魏碑體"/>
        <family val="4"/>
        <charset val="136"/>
      </rPr>
      <t>吊車承攬
45噸(天/ST)</t>
    </r>
    <phoneticPr fontId="5" type="noConversion"/>
  </si>
  <si>
    <r>
      <rPr>
        <sz val="14"/>
        <color indexed="8"/>
        <rFont val="華康魏碑體"/>
        <family val="4"/>
        <charset val="136"/>
      </rPr>
      <t>外牆搭拆安全母索租金
工料 含鑽孔、膨脹螺絲及吊環固定、復原等</t>
    </r>
    <phoneticPr fontId="5" type="noConversion"/>
  </si>
  <si>
    <r>
      <rPr>
        <sz val="14"/>
        <color indexed="8"/>
        <rFont val="華康魏碑體"/>
        <family val="4"/>
        <charset val="136"/>
      </rPr>
      <t>導水溝製作含RC切割打除+EPOXY塗佈水泥粉光
W=20cm以下*TH=7cm以下工料含合法運</t>
    </r>
    <phoneticPr fontId="5" type="noConversion"/>
  </si>
  <si>
    <r>
      <rPr>
        <sz val="14"/>
        <color indexed="8"/>
        <rFont val="華康魏碑體"/>
        <family val="4"/>
        <charset val="136"/>
      </rPr>
      <t>樹脂砂漿粉刷打底 H=3cm以內
水泥、砂、樹脂除外餘工料</t>
    </r>
    <phoneticPr fontId="5" type="noConversion"/>
  </si>
  <si>
    <t>營建防水緊急入廠搶修基本工資
出工1人/天</t>
    <phoneticPr fontId="5" type="noConversion"/>
  </si>
  <si>
    <t>高空工作車租用(天/ST)
作業高度為2~10M</t>
    <phoneticPr fontId="5" type="noConversion"/>
  </si>
  <si>
    <t>高空工作車租用(天/ST)
作業高度為10.1~15M</t>
    <phoneticPr fontId="5" type="noConversion"/>
  </si>
  <si>
    <t>高空工作車租用(天/ST)
作業高度為15.1~20M</t>
    <phoneticPr fontId="5" type="noConversion"/>
  </si>
  <si>
    <t>高空工作車租用(天/ST)
作業高度為20.1~30M</t>
    <phoneticPr fontId="5" type="noConversion"/>
  </si>
  <si>
    <t>高空工作車租用(天/ST)
作業高度為30.1~40M</t>
    <phoneticPr fontId="5" type="noConversion"/>
  </si>
  <si>
    <t>高空工作車操作人員(1小時/1ST)</t>
    <phoneticPr fontId="5" type="noConversion"/>
  </si>
  <si>
    <t>高空工作車指揮作業人員(1小時/1ST)</t>
    <phoneticPr fontId="5" type="noConversion"/>
  </si>
  <si>
    <t>E-mail：</t>
    <phoneticPr fontId="3" type="noConversion"/>
  </si>
  <si>
    <r>
      <t>RC</t>
    </r>
    <r>
      <rPr>
        <sz val="14"/>
        <rFont val="華康魏碑體"/>
        <family val="4"/>
        <charset val="136"/>
      </rPr>
      <t>裂縫填灌強固環氧樹脂 工料 含鑿槽補土披平
STRONG EPOXY 868</t>
    </r>
    <phoneticPr fontId="3" type="noConversion"/>
  </si>
  <si>
    <t>RC頂板面以強固輕質環氧樹脂砂漿結構修補填平 工料
STRONG EPOXY 502</t>
    <phoneticPr fontId="3" type="noConversion"/>
  </si>
  <si>
    <t>伸縮縫專用高彈性填縫材填縫防水處理 工料
Sikaflex® PRO-3單液型萬用彈性地坪填縫膠</t>
    <phoneticPr fontId="3" type="noConversion"/>
  </si>
  <si>
    <t>矽利康填縫材 工料 
含泡棉條
SikaHyflex 305AP耐候防水膠填縫劑</t>
    <phoneticPr fontId="3" type="noConversion"/>
  </si>
  <si>
    <t>混凝土地坪伸縮縫切割 工料</t>
    <phoneticPr fontId="3" type="noConversion"/>
  </si>
  <si>
    <t>南亞舒麗防水材塗佈
4.2m/m(t)露出型責任施工 US-10</t>
    <phoneticPr fontId="3" type="noConversion"/>
  </si>
  <si>
    <t>塗佈美國蓋福不垂流水性填縫材 1KG/SM
GAF ROOFMATE BUTTER GRADE SEALANT</t>
    <phoneticPr fontId="5" type="noConversion"/>
  </si>
  <si>
    <t>塗佈德國明氏裂縫橋接性耐候型防塵防水隔熱混凝土保護塗料  1 KG/SM
MC-Color Flair pure TWN</t>
    <phoneticPr fontId="3" type="noConversion"/>
  </si>
  <si>
    <t>鋪設抗裂纖維網 工料</t>
    <phoneticPr fontId="3" type="noConversion"/>
  </si>
  <si>
    <t>螺絲貼覆防水鋁貼 
GAF UNITAPE</t>
    <phoneticPr fontId="3" type="noConversion"/>
  </si>
  <si>
    <r>
      <t>貼覆防水抗裂纖維膠帶 W</t>
    </r>
    <r>
      <rPr>
        <sz val="14"/>
        <rFont val="標楷體"/>
        <family val="4"/>
        <charset val="136"/>
      </rPr>
      <t>≤</t>
    </r>
    <r>
      <rPr>
        <sz val="14"/>
        <rFont val="華康魏碑體"/>
        <family val="4"/>
        <charset val="136"/>
      </rPr>
      <t>4"
GAF UNITAPE</t>
    </r>
    <phoneticPr fontId="3" type="noConversion"/>
  </si>
  <si>
    <t>塗佈台灣平坦適透明防水材一底二度
Pentens T009 &amp; Pentens NPU12</t>
    <phoneticPr fontId="3" type="noConversion"/>
  </si>
  <si>
    <t>塗佈德國亞德士多功能水性環氧樹脂 0.4 KG/SM
ARDEX WPM256</t>
    <phoneticPr fontId="3" type="noConversion"/>
  </si>
  <si>
    <t>塗佈德國亞德士水性環氧樹脂防水材 2.5 KG/SM
ARDEX WPM300</t>
    <phoneticPr fontId="3" type="noConversion"/>
  </si>
  <si>
    <t>噴塗日本昭和陽離子超微粒打底材 0.2KG/SM
工料
SHOWA CATION PRIMER</t>
    <phoneticPr fontId="3" type="noConversion"/>
  </si>
  <si>
    <t>外牆面塗佈日本昭和賽漏踏可 G 彈性水泥防水材 2 KG/SM
SHOWA DENKO Ceretac G</t>
    <phoneticPr fontId="3" type="noConversion"/>
  </si>
  <si>
    <t>牆面粉刷水泥漆二道 工料
虹牌450</t>
    <phoneticPr fontId="3" type="noConversion"/>
  </si>
  <si>
    <t>牆面腰帶粉刷水泥漆二道 工料</t>
    <phoneticPr fontId="3" type="noConversion"/>
  </si>
  <si>
    <t>牆面披土 工料</t>
    <phoneticPr fontId="3" type="noConversion"/>
  </si>
  <si>
    <t>踢腳板油漆粉刷 工料</t>
    <phoneticPr fontId="3" type="noConversion"/>
  </si>
  <si>
    <t>屋頂落水頭更新為超速落水罩 工料</t>
    <phoneticPr fontId="3" type="noConversion"/>
  </si>
  <si>
    <t>混凝土面電鋸切割</t>
    <phoneticPr fontId="3" type="noConversion"/>
  </si>
  <si>
    <t>拆除隔熱層、防水層及PC層至RC面 
含廢棄物合法運棄</t>
    <phoneticPr fontId="3" type="noConversion"/>
  </si>
  <si>
    <t>吊車承攬 
100噸(天/ST)</t>
    <phoneticPr fontId="3" type="noConversion"/>
  </si>
  <si>
    <t>指揮.吊掛作業人員 (工作8小時內)</t>
    <phoneticPr fontId="3" type="noConversion"/>
  </si>
  <si>
    <t>高空自走作業車租用 (租期3天以內)一天租金                 
車子可作業之最高高度36M</t>
    <phoneticPr fontId="3" type="noConversion"/>
  </si>
  <si>
    <t>高空作業車指揮工作人員(工作8小時內)</t>
    <phoneticPr fontId="3" type="noConversion"/>
  </si>
  <si>
    <t>現場負責人：趙曉謙   Mobile：0965-307806</t>
    <phoneticPr fontId="3" type="noConversion"/>
  </si>
  <si>
    <t>架繩點繩索守護員 1天/ST</t>
    <phoneticPr fontId="5" type="noConversion"/>
  </si>
  <si>
    <r>
      <t>M</t>
    </r>
    <r>
      <rPr>
        <vertAlign val="superscript"/>
        <sz val="14"/>
        <rFont val="華康魏碑體"/>
        <family val="4"/>
        <charset val="136"/>
      </rPr>
      <t>2</t>
    </r>
    <phoneticPr fontId="5" type="noConversion"/>
  </si>
  <si>
    <t>永久防墜固定點安裝
HILTI HST3-R M12x145 A4</t>
    <phoneticPr fontId="3" type="noConversion"/>
  </si>
  <si>
    <t>臨時防墜固定點安裝
HILTI HST3 M10x90 鍍鋅</t>
    <phoneticPr fontId="3" type="noConversion"/>
  </si>
  <si>
    <t>牆面輕質砂漿填平復原
工料 強固SP-502AB+石英砂</t>
    <phoneticPr fontId="5" type="noConversion"/>
  </si>
  <si>
    <t>無塵室裂縫及孔洞封塞
強固SP-70AB</t>
    <phoneticPr fontId="3" type="noConversion"/>
  </si>
  <si>
    <t>無塵室地坪塗布無溶劑型環氧樹脂 一底二度
長城大地KL-229、KL-230</t>
    <phoneticPr fontId="3" type="noConversion"/>
  </si>
  <si>
    <t>無塵室牆體裂縫低壓灌注鋼板結構補強EPOXY 
工料 強固SP-869AB 
含牆裂縫強固SP-70AB封塞</t>
    <phoneticPr fontId="3" type="noConversion"/>
  </si>
  <si>
    <t>鋼構除鏽防鏽處理
工料 鐵衛R-790常溫鐵鏽轉化劑</t>
    <phoneticPr fontId="5" type="noConversion"/>
  </si>
  <si>
    <t>鋼構塗布防蝕漆 一底二度
長城大地KL-409、KL-530</t>
    <phoneticPr fontId="3" type="noConversion"/>
  </si>
  <si>
    <t>伸縮縫專用高彈性填縫材填縫防水處理
工料 含泡棉條 W=5~8CM,TH=2.5CM
Sikaflex® 406 KC自流平PU膠</t>
    <phoneticPr fontId="3" type="noConversion"/>
  </si>
  <si>
    <t>挖除既有老舊矽利康填縫材 工料
含周邊以藥劑清潔和廢料送至指定地點，由美光負責清運</t>
    <phoneticPr fontId="3" type="noConversion"/>
  </si>
  <si>
    <t>混凝土面電鋸切割
含粉塵收集</t>
    <phoneticPr fontId="3" type="noConversion"/>
  </si>
  <si>
    <t>螺絲貼覆防水鋁貼 
GAF CAPS</t>
    <phoneticPr fontId="3" type="noConversion"/>
  </si>
  <si>
    <t>塗佈瑞士西卡快速硬化型單組份聚胺脂 2.5 KG/SM
Sikalastic® 632 R</t>
    <phoneticPr fontId="3" type="noConversion"/>
  </si>
  <si>
    <t>噴塗日本昭和矽酸質系塗布防水材 2.5 KG/SM
工料
SHOWA DENKO CEREGUARD DS</t>
    <phoneticPr fontId="3" type="noConversion"/>
  </si>
  <si>
    <t>牆角隅處施作德國亞德士快速止水粉倒角
3 KG/M 工料
ARDEX 66.M</t>
    <phoneticPr fontId="3" type="noConversion"/>
  </si>
  <si>
    <t>牆角隅處施作瑞士西卡PU膠 倒角145 ML/M 工料
SIKA CONSTRUCTION
含角隅清潔</t>
    <phoneticPr fontId="3" type="noConversion"/>
  </si>
  <si>
    <t>管路周邊防火泥更新收頭處理 工料
HILTI CP606 防火丙烯酸密封劑</t>
    <phoneticPr fontId="3" type="noConversion"/>
  </si>
  <si>
    <t xml:space="preserve">拆除隔熱層、防水層及PC層至RC面 
含廢料送至指定地點，由美光負責清運 </t>
    <phoneticPr fontId="3" type="noConversion"/>
  </si>
  <si>
    <t>拆除混凝土PC層至PS隔熱層 
含廢棄物運至指定地點，由美光負責清運</t>
    <phoneticPr fontId="3" type="noConversion"/>
  </si>
  <si>
    <t>水溝切割拆除至RC面 W=20cm以下
含廢料送至指定地點，由美光負責清運</t>
    <phoneticPr fontId="3" type="noConversion"/>
  </si>
  <si>
    <t>指揮及吊掛作業人員 (工作8小時內)</t>
    <phoneticPr fontId="3" type="noConversion"/>
  </si>
  <si>
    <t>施工面高壓水清洗
含人工小搬運</t>
    <phoneticPr fontId="3" type="noConversion"/>
  </si>
  <si>
    <t>高空自走作業車租用 (租期3天以內)一天租金                 
車子可作業之最高高度10M以下</t>
    <phoneticPr fontId="3" type="noConversion"/>
  </si>
  <si>
    <t>樹脂砂漿粉刷洩水斜坡                                                        H=3-12cm以內 工料
含材料搬運費</t>
    <phoneticPr fontId="3" type="noConversion"/>
  </si>
  <si>
    <t>水溝樹脂砂漿粉刷洩水斜坡                                                        H=3-12cm以內 工料
含材料搬運費</t>
    <phoneticPr fontId="3" type="noConversion"/>
  </si>
  <si>
    <t>營建防水緊急入廠搶修基本工資                                      
出工1人/天</t>
    <phoneticPr fontId="3" type="noConversion"/>
  </si>
  <si>
    <t>搭拆安全母索租金
工料 含鑽孔、拉脹螺絲、吊環固定及復原等</t>
    <phoneticPr fontId="3" type="noConversion"/>
  </si>
  <si>
    <t>系統架搭拆</t>
    <phoneticPr fontId="5" type="noConversion"/>
  </si>
  <si>
    <t>施工梯</t>
    <phoneticPr fontId="5" type="noConversion"/>
  </si>
  <si>
    <t>防塵網</t>
    <phoneticPr fontId="5" type="noConversion"/>
  </si>
  <si>
    <t>結構計算書</t>
    <phoneticPr fontId="5" type="noConversion"/>
  </si>
  <si>
    <t>滴水線配裝
工料 L-19&amp;Q-40 含矽利康收邊</t>
    <phoneticPr fontId="3" type="noConversion"/>
  </si>
  <si>
    <t>施工區域管制
含指揮人員及設備</t>
    <phoneticPr fontId="3" type="noConversion"/>
  </si>
  <si>
    <t>工安管理費(上限為單案總金額10%)
含工作危害分析(JHA)、現場安全監督人員(營造業丙種安全衛生業務主管、施工架組配作業主管)和美光特殊規定PPE防護具(C級防護衣、拋棄式防化學手套)</t>
    <phoneticPr fontId="3" type="noConversion"/>
  </si>
  <si>
    <r>
      <t>碳纖維補強(貼覆二層)
工料 200g/m</t>
    </r>
    <r>
      <rPr>
        <vertAlign val="superscript"/>
        <sz val="14"/>
        <rFont val="華康魏碑體"/>
        <family val="4"/>
        <charset val="136"/>
      </rPr>
      <t>2 ,</t>
    </r>
    <r>
      <rPr>
        <sz val="14"/>
        <rFont val="華康魏碑體"/>
        <family val="4"/>
        <charset val="136"/>
      </rPr>
      <t>抗拉強度35000kg/cm</t>
    </r>
    <r>
      <rPr>
        <vertAlign val="superscript"/>
        <sz val="14"/>
        <rFont val="華康魏碑體"/>
        <family val="4"/>
        <charset val="136"/>
      </rPr>
      <t xml:space="preserve">2
</t>
    </r>
    <r>
      <rPr>
        <sz val="14"/>
        <rFont val="華康魏碑體"/>
        <family val="4"/>
        <charset val="136"/>
      </rPr>
      <t>含底層整平、黏著劑塗層</t>
    </r>
    <phoneticPr fontId="5" type="noConversion"/>
  </si>
  <si>
    <r>
      <t>RC</t>
    </r>
    <r>
      <rPr>
        <sz val="14"/>
        <rFont val="華康魏碑體"/>
        <family val="4"/>
        <charset val="136"/>
      </rPr>
      <t xml:space="preserve">面打毛 
含廢料送至指定地點，由美光負責清運 </t>
    </r>
    <phoneticPr fontId="3" type="noConversion"/>
  </si>
  <si>
    <r>
      <t>M</t>
    </r>
    <r>
      <rPr>
        <vertAlign val="superscript"/>
        <sz val="14"/>
        <rFont val="華康魏碑體"/>
        <family val="4"/>
        <charset val="136"/>
      </rPr>
      <t>3</t>
    </r>
    <phoneticPr fontId="5" type="noConversion"/>
  </si>
  <si>
    <t>窗框與併接處低壓灌注發泡PU材 工料 
含針孔補洞 德國海馬發泡劑
含廢料送至指定地點，由美光負責清運</t>
    <phoneticPr fontId="3" type="noConversion"/>
  </si>
  <si>
    <t>材料單價</t>
    <phoneticPr fontId="5" type="noConversion"/>
  </si>
  <si>
    <t>工資金額</t>
    <phoneticPr fontId="5" type="noConversion"/>
  </si>
  <si>
    <t>複 價</t>
    <phoneticPr fontId="5" type="noConversion"/>
  </si>
  <si>
    <t>現場負責人：王為先   Mobile：0912-247483</t>
    <phoneticPr fontId="3" type="noConversion"/>
  </si>
  <si>
    <t>2.報價有效期限30天。</t>
    <phoneticPr fontId="5" type="noConversion"/>
  </si>
  <si>
    <t>數量</t>
    <phoneticPr fontId="5" type="noConversion"/>
  </si>
  <si>
    <t>英文名稱：</t>
    <phoneticPr fontId="3" type="noConversion"/>
  </si>
  <si>
    <t>英文名稱:[EPS]_FAB-B RF B1 Emergency Staircase Wall Peeling Repair Project</t>
    <phoneticPr fontId="3" type="noConversion"/>
  </si>
  <si>
    <t xml:space="preserve">2.報價有效期限30天。                       </t>
    <phoneticPr fontId="5" type="noConversion"/>
  </si>
  <si>
    <t>工地負責人：陳信寬　Mobile：0988-272090</t>
    <phoneticPr fontId="3" type="noConversion"/>
  </si>
  <si>
    <t>現場負責人：王為先　Mobile：0912-247483</t>
    <phoneticPr fontId="3" type="noConversion"/>
  </si>
  <si>
    <t>議價後
材料單價</t>
    <phoneticPr fontId="5" type="noConversion"/>
  </si>
  <si>
    <t>議價後
工資金額</t>
    <phoneticPr fontId="5" type="noConversion"/>
  </si>
  <si>
    <t>議價後
複價</t>
    <phoneticPr fontId="5" type="noConversion"/>
  </si>
  <si>
    <t>議價後工程金額總計</t>
    <phoneticPr fontId="5" type="noConversion"/>
  </si>
  <si>
    <t>複價</t>
    <phoneticPr fontId="5" type="noConversion"/>
  </si>
  <si>
    <t>高壓灌注德國明氏發泡樹脂&amp;彈性密封樹脂 工料 灌注二次 MC INJEKT 2188 &amp; MC INJEKT 2300  含孔洞填平</t>
    <phoneticPr fontId="3" type="noConversion"/>
  </si>
  <si>
    <t>高壓灌注德國明氏彈性發泡樹脂 工料 灌注二次 MC-INJEKT 2133 
含孔洞填平</t>
    <phoneticPr fontId="3" type="noConversion"/>
  </si>
  <si>
    <t>無塵室內高壓灌注德國明氏彈性發泡樹脂 工料 灌注二次 MC-INJEKT 2133 
含集塵及無線施工</t>
    <phoneticPr fontId="3" type="noConversion"/>
  </si>
  <si>
    <t>高壓灌注德國明氏彈性發泡樹脂 工料 灌注二次
MC-injekt 2133 
含孔洞填平</t>
  </si>
  <si>
    <t>高壓灌注德國明氏發泡樹脂&amp;彈性密封樹脂 工料 灌注二次 MC injekt 2188 &amp; MC injekt 2300 
含孔洞填平</t>
  </si>
  <si>
    <t>無塵室內高壓灌注德國明氏彈性發泡樹脂 工料 灌注二次 MC-injekt 2133 
含集塵及無線施工</t>
  </si>
  <si>
    <t>ARMAA2</t>
    <phoneticPr fontId="3" type="noConversion"/>
  </si>
  <si>
    <t>益膠泥</t>
    <phoneticPr fontId="3" type="noConversion"/>
  </si>
  <si>
    <t>ARSDB160</t>
    <phoneticPr fontId="3" type="noConversion"/>
  </si>
  <si>
    <r>
      <t>增進銲接性竹節鋼筋 SD420W 13mm</t>
    </r>
    <r>
      <rPr>
        <sz val="14"/>
        <rFont val="Calibri"/>
        <family val="2"/>
        <charset val="161"/>
      </rPr>
      <t>φ</t>
    </r>
    <r>
      <rPr>
        <sz val="14"/>
        <rFont val="華康魏碑體"/>
        <family val="4"/>
        <charset val="136"/>
      </rPr>
      <t>品質標準 CNS560 吊車卸貨</t>
    </r>
    <phoneticPr fontId="3" type="noConversion"/>
  </si>
  <si>
    <t>CEPAD1</t>
    <phoneticPr fontId="3" type="noConversion"/>
  </si>
  <si>
    <t>防水劑 水泥墁料用</t>
    <phoneticPr fontId="3" type="noConversion"/>
  </si>
  <si>
    <t>白水泥 50KG/BX</t>
    <phoneticPr fontId="3" type="noConversion"/>
  </si>
  <si>
    <t>CEPCE3</t>
    <phoneticPr fontId="3" type="noConversion"/>
  </si>
  <si>
    <t>CHEOR488</t>
    <phoneticPr fontId="3" type="noConversion"/>
  </si>
  <si>
    <t>二甲苯 XYLENE 工業級</t>
    <phoneticPr fontId="3" type="noConversion"/>
  </si>
  <si>
    <t>矽酸質奈晶修補堵漏劑如:XYPEX-50 9.1KG/TK 或同級品 詳規範</t>
    <phoneticPr fontId="3" type="noConversion"/>
  </si>
  <si>
    <t>七厘卵石洗石子地磚24mmt x 50cmW x 50cmL 如附樣</t>
    <phoneticPr fontId="3" type="noConversion"/>
  </si>
  <si>
    <t>WEDAS36</t>
    <phoneticPr fontId="3" type="noConversion"/>
  </si>
  <si>
    <t>石英質磁磚 施釉霧面6mmt x 100mmW x 100mmL 如附樣</t>
    <phoneticPr fontId="3" type="noConversion"/>
  </si>
  <si>
    <t>WEDCT114</t>
    <phoneticPr fontId="3" type="noConversion"/>
  </si>
  <si>
    <t>石英質磁磚 粗糙面(窯燒)18mmt x 90mmW x 90mmL如附樣或說明</t>
    <phoneticPr fontId="3" type="noConversion"/>
  </si>
  <si>
    <t>WEDCT442</t>
    <phoneticPr fontId="3" type="noConversion"/>
  </si>
  <si>
    <t>寒水石 一分清</t>
    <phoneticPr fontId="3" type="noConversion"/>
  </si>
  <si>
    <t>WEDFA3</t>
    <phoneticPr fontId="3" type="noConversion"/>
  </si>
  <si>
    <t>白雲石(特白石) 一分清</t>
    <phoneticPr fontId="3" type="noConversion"/>
  </si>
  <si>
    <t>WEDFA8</t>
    <phoneticPr fontId="3" type="noConversion"/>
  </si>
  <si>
    <t>觀音山石 霧面 20mmt 地面濕式帶工料含安裝如附圖</t>
    <phoneticPr fontId="3" type="noConversion"/>
  </si>
  <si>
    <t>WEDNS605</t>
    <phoneticPr fontId="3" type="noConversion"/>
  </si>
  <si>
    <t>SF</t>
    <phoneticPr fontId="3" type="noConversion"/>
  </si>
  <si>
    <t>鋼筋加工及組立帶鐵絲、墊塊及鐵馬椅</t>
    <phoneticPr fontId="3" type="noConversion"/>
  </si>
  <si>
    <t>AAD10</t>
    <phoneticPr fontId="5" type="noConversion"/>
  </si>
  <si>
    <t>AAD13</t>
    <phoneticPr fontId="5" type="noConversion"/>
  </si>
  <si>
    <r>
      <t>植鋼筋16㎜</t>
    </r>
    <r>
      <rPr>
        <sz val="14"/>
        <color indexed="8"/>
        <rFont val="Calibri"/>
        <family val="2"/>
        <charset val="161"/>
      </rPr>
      <t>φ</t>
    </r>
    <r>
      <rPr>
        <sz val="14"/>
        <color indexed="8"/>
        <rFont val="Calibri"/>
        <family val="2"/>
      </rPr>
      <t>(</t>
    </r>
    <r>
      <rPr>
        <sz val="14"/>
        <color indexed="8"/>
        <rFont val="華康魏碑體"/>
        <family val="4"/>
        <charset val="136"/>
      </rPr>
      <t>含)以下含鑽孔</t>
    </r>
    <phoneticPr fontId="3" type="noConversion"/>
  </si>
  <si>
    <t>AAD34</t>
    <phoneticPr fontId="5" type="noConversion"/>
  </si>
  <si>
    <t>普通模板組立及拆除(土木)工料</t>
    <phoneticPr fontId="3" type="noConversion"/>
  </si>
  <si>
    <t>舒麗防水材塗佈4m/mt埋入型PU、二甲苯外餘工料</t>
    <phoneticPr fontId="3" type="noConversion"/>
  </si>
  <si>
    <t>樓板與牆介面轉角奈晶修堵劑施作倒角5cmx5cm</t>
    <phoneticPr fontId="3" type="noConversion"/>
  </si>
  <si>
    <t>AAER9</t>
    <phoneticPr fontId="5" type="noConversion"/>
  </si>
  <si>
    <t>矽利康防水填縫工料 道康寧 991 耐候型</t>
    <phoneticPr fontId="3" type="noConversion"/>
  </si>
  <si>
    <t>AAEX1</t>
    <phoneticPr fontId="5" type="noConversion"/>
  </si>
  <si>
    <t>伸縮縫專用高彈性填縫材填縫防水處理 工料Sikaflex PRO-3單液型萬用彈性地坪填縫膠</t>
    <phoneticPr fontId="3" type="noConversion"/>
  </si>
  <si>
    <t>AAEX2</t>
    <phoneticPr fontId="5" type="noConversion"/>
  </si>
  <si>
    <t>PS隔熱板製裝 工料TH=5cm以內</t>
    <phoneticPr fontId="3" type="noConversion"/>
  </si>
  <si>
    <t>AAGX1</t>
    <phoneticPr fontId="5" type="noConversion"/>
  </si>
  <si>
    <t>屋頂不銹鋼伸縮縫拆除檢修後氬焊復原 工料含周邊silicone拆除及復原</t>
    <phoneticPr fontId="3" type="noConversion"/>
  </si>
  <si>
    <t>人工拆除RC(含混凝土碎塊及殘渣合法清運)舊鋼筋依指示整理及堆放</t>
    <phoneticPr fontId="3" type="noConversion"/>
  </si>
  <si>
    <t>AAJ26</t>
    <phoneticPr fontId="5" type="noConversion"/>
  </si>
  <si>
    <t>拆除磁磚含殘料合法清運</t>
    <phoneticPr fontId="3" type="noConversion"/>
  </si>
  <si>
    <t>AAJ63</t>
    <phoneticPr fontId="5" type="noConversion"/>
  </si>
  <si>
    <t>AAJ64</t>
    <phoneticPr fontId="5" type="noConversion"/>
  </si>
  <si>
    <t>拆除粉飾層含殘料合法清運</t>
    <phoneticPr fontId="3" type="noConversion"/>
  </si>
  <si>
    <t>AAJ66</t>
    <phoneticPr fontId="5" type="noConversion"/>
  </si>
  <si>
    <t>拆除石材及砂漿層含殘料合法清運</t>
    <phoneticPr fontId="3" type="noConversion"/>
  </si>
  <si>
    <t>拆除隔熱層,防水層及PC層至RC面含廢料合法運棄</t>
    <phoneticPr fontId="3" type="noConversion"/>
  </si>
  <si>
    <t>AAJQ42</t>
    <phoneticPr fontId="5" type="noConversion"/>
  </si>
  <si>
    <t>既有矽利康材刮除含廢料運至指定地點</t>
    <phoneticPr fontId="3" type="noConversion"/>
  </si>
  <si>
    <t>AAJX5</t>
    <phoneticPr fontId="5" type="noConversion"/>
  </si>
  <si>
    <t>不銹鋼欄杆切除及安裝不銹鋼角鐵 工料詳如圖</t>
    <phoneticPr fontId="3" type="noConversion"/>
  </si>
  <si>
    <t>ABA0A</t>
    <phoneticPr fontId="5" type="noConversion"/>
  </si>
  <si>
    <t>地坪貼磁磚含防水水泥砂漿打底及抹縫</t>
    <phoneticPr fontId="3" type="noConversion"/>
  </si>
  <si>
    <t>ABB0G</t>
    <phoneticPr fontId="5" type="noConversion"/>
  </si>
  <si>
    <t>洗石子帶色粉押條</t>
    <phoneticPr fontId="3" type="noConversion"/>
  </si>
  <si>
    <t>ABB0H</t>
    <phoneticPr fontId="5" type="noConversion"/>
  </si>
  <si>
    <t>斬石子帶色粉押條</t>
    <phoneticPr fontId="3" type="noConversion"/>
  </si>
  <si>
    <t>ABBP10</t>
    <phoneticPr fontId="5" type="noConversion"/>
  </si>
  <si>
    <t>樹脂砂漿粉刷洩水斜坡 H=0-10cm以內水泥、砂除外餘工料</t>
    <phoneticPr fontId="3" type="noConversion"/>
  </si>
  <si>
    <r>
      <t>耐候填縫材 工料 
含泡棉條
SikaHyflex 250 Fa</t>
    </r>
    <r>
      <rPr>
        <sz val="14"/>
        <rFont val="Calibri"/>
        <family val="4"/>
      </rPr>
      <t xml:space="preserve">çade </t>
    </r>
    <r>
      <rPr>
        <sz val="14"/>
        <rFont val="華康魏碑體"/>
        <family val="4"/>
        <charset val="136"/>
      </rPr>
      <t>耐候防水膠填縫劑</t>
    </r>
    <phoneticPr fontId="3" type="noConversion"/>
  </si>
  <si>
    <t>會　勘　報　價　單</t>
    <phoneticPr fontId="3" type="noConversion"/>
  </si>
  <si>
    <t>現場收取費用</t>
    <phoneticPr fontId="5" type="noConversion"/>
  </si>
  <si>
    <t>給水管壓力檢測 1戶(一層樓)/ST</t>
    <phoneticPr fontId="3" type="noConversion"/>
  </si>
  <si>
    <t>簽約回傳後，
需預付陸仟元</t>
    <phoneticPr fontId="5" type="noConversion"/>
  </si>
  <si>
    <t>勾選
項目</t>
    <phoneticPr fontId="5" type="noConversion"/>
  </si>
  <si>
    <t xml:space="preserve">業主預付全款後，
開始製作   </t>
    <phoneticPr fontId="5" type="noConversion"/>
  </si>
  <si>
    <t>4.本公司會在簽訂工程合約書時，加入施工位置簡圖作為合約附件，恕無法於報價階段提供。</t>
    <phoneticPr fontId="5" type="noConversion"/>
  </si>
  <si>
    <r>
      <t>6.現場積水測試為達最佳效果，可能須</t>
    </r>
    <r>
      <rPr>
        <b/>
        <sz val="12"/>
        <rFont val="華康魏碑體"/>
        <family val="4"/>
        <charset val="136"/>
      </rPr>
      <t>積水24小時以上；</t>
    </r>
    <r>
      <rPr>
        <sz val="12"/>
        <rFont val="華康魏碑體"/>
        <family val="4"/>
        <charset val="136"/>
      </rPr>
      <t>現場積水</t>
    </r>
    <r>
      <rPr>
        <sz val="12"/>
        <color rgb="FFFF0000"/>
        <rFont val="華康魏碑體"/>
        <family val="4"/>
        <charset val="136"/>
      </rPr>
      <t>若因地形而無法有效積水時</t>
    </r>
    <r>
      <rPr>
        <b/>
        <sz val="12"/>
        <rFont val="華康魏碑體"/>
        <family val="4"/>
        <charset val="136"/>
      </rPr>
      <t>，</t>
    </r>
    <r>
      <rPr>
        <sz val="12"/>
        <rFont val="華康魏碑體"/>
        <family val="4"/>
        <charset val="136"/>
      </rPr>
      <t>需</t>
    </r>
    <r>
      <rPr>
        <b/>
        <sz val="12"/>
        <rFont val="華康魏碑體"/>
        <family val="4"/>
        <charset val="136"/>
      </rPr>
      <t>另加排水管臨時封孔</t>
    </r>
    <phoneticPr fontId="5" type="noConversion"/>
  </si>
  <si>
    <r>
      <t>7.紅外線熱顯像儀</t>
    </r>
    <r>
      <rPr>
        <b/>
        <sz val="12"/>
        <rFont val="華康魏碑體"/>
        <family val="4"/>
        <charset val="136"/>
      </rPr>
      <t>可能無法檢測</t>
    </r>
    <r>
      <rPr>
        <sz val="12"/>
        <color indexed="10"/>
        <rFont val="華康魏碑體"/>
        <family val="4"/>
        <charset val="136"/>
      </rPr>
      <t>超過15公分以上的部位</t>
    </r>
    <r>
      <rPr>
        <sz val="12"/>
        <rFont val="華康魏碑體"/>
        <family val="4"/>
        <charset val="136"/>
      </rPr>
      <t>及</t>
    </r>
    <r>
      <rPr>
        <sz val="12"/>
        <color indexed="10"/>
        <rFont val="華康魏碑體"/>
        <family val="4"/>
        <charset val="136"/>
      </rPr>
      <t>被中空飾材遮蔽的部位</t>
    </r>
    <r>
      <rPr>
        <sz val="12"/>
        <rFont val="華康魏碑體"/>
        <family val="4"/>
        <charset val="136"/>
      </rPr>
      <t>。</t>
    </r>
    <phoneticPr fontId="5" type="noConversion"/>
  </si>
  <si>
    <t>8.現場若因環境因素而無法檢測，仍需支付全額科技儀器檢測費用。</t>
    <phoneticPr fontId="5" type="noConversion"/>
  </si>
  <si>
    <r>
      <t>9.科技儀器檢測報告書作業時間約</t>
    </r>
    <r>
      <rPr>
        <b/>
        <sz val="12"/>
        <rFont val="華康魏碑體"/>
        <family val="4"/>
        <charset val="136"/>
      </rPr>
      <t>10個工作天</t>
    </r>
    <r>
      <rPr>
        <sz val="12"/>
        <rFont val="華康魏碑體"/>
        <family val="4"/>
        <charset val="136"/>
      </rPr>
      <t>。</t>
    </r>
    <phoneticPr fontId="5" type="noConversion"/>
  </si>
  <si>
    <r>
      <t>10.同意此報價後，請於本報價單簽名用印回傳，並</t>
    </r>
    <r>
      <rPr>
        <b/>
        <i/>
        <sz val="12"/>
        <rFont val="華康魏碑體"/>
        <family val="4"/>
        <charset val="136"/>
      </rPr>
      <t>預付</t>
    </r>
    <r>
      <rPr>
        <sz val="12"/>
        <rFont val="華康魏碑體"/>
        <family val="4"/>
        <charset val="136"/>
      </rPr>
      <t>檢測費用，並於檢測結束後結清剩餘費用。</t>
    </r>
    <phoneticPr fontId="5" type="noConversion"/>
  </si>
  <si>
    <t>11.委由本公司施工，工程款可折抵會勘費用壹仟元。</t>
    <phoneticPr fontId="5" type="noConversion"/>
  </si>
  <si>
    <t>施工位置簡圖及防水施作細部大樣圖
若委由本公司施工，可折抵工程款壹萬元</t>
    <phoneticPr fontId="3" type="noConversion"/>
  </si>
  <si>
    <t>鋼筋除鏽防鏽處理</t>
    <phoneticPr fontId="3" type="noConversion"/>
  </si>
  <si>
    <t>窗框與併接處低壓灌注發泡PU材
含針孔補洞
德國海馬發泡劑</t>
    <phoneticPr fontId="3" type="noConversion"/>
  </si>
  <si>
    <t>矽利康填縫材 含泡棉條
SikaHyflex 355無汙染耐候防水膠填縫劑</t>
    <phoneticPr fontId="3" type="noConversion"/>
  </si>
  <si>
    <t>矽利康填縫材 含泡棉條
SikaHyflex 305AP耐候防水膠填縫劑</t>
    <phoneticPr fontId="3" type="noConversion"/>
  </si>
  <si>
    <t xml:space="preserve">排水管疏通清淤 
含廢棄物合法運棄 </t>
    <phoneticPr fontId="3" type="noConversion"/>
  </si>
  <si>
    <t>混凝土地坪伸縮縫切割</t>
    <phoneticPr fontId="3" type="noConversion"/>
  </si>
  <si>
    <t>南亞舒麗防水材塗佈
4m/m(t)埋入型責任施工 US-10</t>
    <phoneticPr fontId="3" type="noConversion"/>
  </si>
  <si>
    <t>鋪設抗裂纖維網</t>
    <phoneticPr fontId="3" type="noConversion"/>
  </si>
  <si>
    <t>牆面打磨至水泥面
含集塵設施、周遭環境保護</t>
    <phoneticPr fontId="3" type="noConversion"/>
  </si>
  <si>
    <t>牆面粉刷水泥漆二道
虹牌450</t>
    <phoneticPr fontId="3" type="noConversion"/>
  </si>
  <si>
    <t>牆面腰帶粉刷水泥漆二道</t>
    <phoneticPr fontId="3" type="noConversion"/>
  </si>
  <si>
    <t>牆面披土</t>
    <phoneticPr fontId="3" type="noConversion"/>
  </si>
  <si>
    <t>踢腳板油漆粉刷</t>
    <phoneticPr fontId="3" type="noConversion"/>
  </si>
  <si>
    <t>牆角隅處施作德國亞德士快速止水粉倒角
2.5 KG/M
ARDEX 66.M</t>
    <phoneticPr fontId="3" type="noConversion"/>
  </si>
  <si>
    <t>牆角隅處施作瑞士西卡PU膠 倒角145 ML/M
SIKA CONSTRUCTION</t>
    <phoneticPr fontId="3" type="noConversion"/>
  </si>
  <si>
    <t>RC地坪洗孔3"以下</t>
    <phoneticPr fontId="3" type="noConversion"/>
  </si>
  <si>
    <t>落水頭防水收頭處理</t>
    <phoneticPr fontId="3" type="noConversion"/>
  </si>
  <si>
    <t>屋頂落水頭更新為超速落水罩</t>
    <phoneticPr fontId="3" type="noConversion"/>
  </si>
  <si>
    <t>管路周邊防水收頭處理</t>
    <phoneticPr fontId="3" type="noConversion"/>
  </si>
  <si>
    <t>樹脂砂漿粉刷洩水斜坡                                                        H=3-12cm以內</t>
    <phoneticPr fontId="3" type="noConversion"/>
  </si>
  <si>
    <t>搭拆安全母索租金(責任施工)
含鑽孔、拉脹螺絲及吊環固定、復原等</t>
    <phoneticPr fontId="3" type="noConversion"/>
  </si>
  <si>
    <t>搭拆防護帆布
含維護</t>
    <phoneticPr fontId="3" type="noConversion"/>
  </si>
  <si>
    <r>
      <t>RC</t>
    </r>
    <r>
      <rPr>
        <sz val="14"/>
        <rFont val="華康魏碑體"/>
        <family val="4"/>
        <charset val="136"/>
      </rPr>
      <t>面打除至露出鋼筋
含廢棄物合法清運</t>
    </r>
    <phoneticPr fontId="3" type="noConversion"/>
  </si>
  <si>
    <t>伸縮縫專用高彈性填縫材填縫防水處理
Sikaflex® PRO-3單液型萬用彈性地坪填縫膠</t>
    <phoneticPr fontId="3" type="noConversion"/>
  </si>
  <si>
    <r>
      <t>牆面塗佈德國明氏裂縫橋接性耐候型防塵防水隔熱混凝土保護塗料  1.2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MC-Color Flair pure TWN</t>
    </r>
    <phoneticPr fontId="3" type="noConversion"/>
  </si>
  <si>
    <r>
      <t>塗佈台灣平坦適水性聚胺脂 2.5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Pentens T100 黑色</t>
    </r>
    <phoneticPr fontId="3" type="noConversion"/>
  </si>
  <si>
    <r>
      <t>地坪面塗布瑞士西卡水性改質瀝青防水材
3.5 KG/M</t>
    </r>
    <r>
      <rPr>
        <vertAlign val="superscript"/>
        <sz val="14"/>
        <rFont val="華康魏碑體"/>
        <family val="4"/>
        <charset val="136"/>
      </rPr>
      <t xml:space="preserve">2 </t>
    </r>
    <r>
      <rPr>
        <sz val="14"/>
        <rFont val="華康魏碑體"/>
        <family val="4"/>
        <charset val="136"/>
      </rPr>
      <t>SIKA Igolflex 301 黑色</t>
    </r>
    <phoneticPr fontId="3" type="noConversion"/>
  </si>
  <si>
    <r>
      <t>塗佈瑞士西卡快速硬化型單組份聚胺脂 
2.5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 Sikalastic® 632 R 淺灰色</t>
    </r>
    <phoneticPr fontId="3" type="noConversion"/>
  </si>
  <si>
    <r>
      <t>塗佈德國亞德士水性環氧樹脂防水材 2.5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ARDEX WPM300 白色</t>
    </r>
    <phoneticPr fontId="3" type="noConversion"/>
  </si>
  <si>
    <r>
      <t>頂樓和屋突地坪塗佈德國亞德士水性環氧樹脂防水材 4 KG/M</t>
    </r>
    <r>
      <rPr>
        <vertAlign val="superscript"/>
        <sz val="14"/>
        <rFont val="華康魏碑體"/>
        <family val="4"/>
        <charset val="136"/>
      </rPr>
      <t xml:space="preserve">2 </t>
    </r>
    <r>
      <rPr>
        <sz val="14"/>
        <rFont val="華康魏碑體"/>
        <family val="4"/>
        <charset val="136"/>
      </rPr>
      <t>含鋪設玻纖蓆 300 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 
ARDEX WPM300 白色</t>
    </r>
    <phoneticPr fontId="3" type="noConversion"/>
  </si>
  <si>
    <r>
      <t>噴塗日本昭和陽離子超微粒打底材 0.4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SHOWA CATION PRIMER</t>
    </r>
    <phoneticPr fontId="3" type="noConversion"/>
  </si>
  <si>
    <r>
      <t>外牆面塗佈日本昭和賽漏踏可 G 彈性水泥防水材 2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SHOWA DENKO Ceretac G</t>
    </r>
    <phoneticPr fontId="3" type="noConversion"/>
  </si>
  <si>
    <r>
      <t>浴室或廚房內塗佈日本昭和賽漏踏可 G 彈性水泥防水材 3.6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 含抗裂纖維網
SHOWA DENKO Ceretac G</t>
    </r>
    <phoneticPr fontId="3" type="noConversion"/>
  </si>
  <si>
    <r>
      <t>飲用水池內塗佈日本昭和賽漏踏可 JW 彈性水泥防水材 3.6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 含抗裂纖維網 
符合飲用水標準 SHOWA DENKO Ceretac JW</t>
    </r>
    <phoneticPr fontId="3" type="noConversion"/>
  </si>
  <si>
    <r>
      <t>噴塗日本昭和矽酸質系塗布防水材 2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SHOWA DENKO CEREGUARD DS</t>
    </r>
    <phoneticPr fontId="3" type="noConversion"/>
  </si>
  <si>
    <t>工安管理費 10%
含危害因素告知單、每日工具箱會議、工程意外險、工程責任保險</t>
  </si>
  <si>
    <t>拆除塑鋼門組、衛浴設備、磁磚、防水層
及粉刷層至堅實面
含廢棄物合法運棄</t>
  </si>
  <si>
    <t>冷熱給水管更新 工料</t>
  </si>
  <si>
    <t>既有電燈開關及插座面板更新 工料</t>
  </si>
  <si>
    <t>牆面水泥砂漿及地面洩水斜坡
含地面落水頭安裝 工料</t>
  </si>
  <si>
    <t>牆面及地面磁磚鋪貼 工料
含磁磚收邊條、人造石門檻安裝</t>
  </si>
  <si>
    <t>塑鋼門安裝 工料
含立框及五金、水平鎖</t>
  </si>
  <si>
    <t>門框周邊牆面水泥砂修補及填縫 工料
含牆面水泥漆復原</t>
  </si>
  <si>
    <t>衛浴設備安裝工資
馬桶、臉盆龍頭及臉盆、淋浴溫控龍頭及滑桿、
淋浴椅</t>
  </si>
  <si>
    <t>衛浴設備
Toto CW887CRTW馬桶、TTLR301FCS臉盆龍頭&amp; LW240CJU臉盆</t>
  </si>
  <si>
    <t>既有防水層脫層處及洩水不良處拆除
含廢棄物合法運棄及臨時防水處理</t>
  </si>
  <si>
    <t>施工面高壓水清洗</t>
  </si>
  <si>
    <t>地坪切割透氣縫 @1M</t>
  </si>
  <si>
    <t>牆角隅處施作瑞士西卡PU膠 倒角145 ML/M 工料
SIKA CONSTRUCTION</t>
  </si>
  <si>
    <t>落水頭防水收頭處理
含落水頭更新為超速落水罩 工料</t>
  </si>
  <si>
    <t>管路周邊防水收頭處理 工料</t>
  </si>
  <si>
    <t>牆面及踢腳板白華處打磨至水泥面
含集塵設施、周遭環境保護</t>
  </si>
  <si>
    <t>牆面粉刷水泥漆二道
含批土磨平
森呼吸矽藻漆GR0501 百合白</t>
  </si>
  <si>
    <t>排水孔周邊防水收頭處理 工料</t>
  </si>
  <si>
    <t>設備機具磨耗</t>
    <phoneticPr fontId="5" type="noConversion"/>
  </si>
  <si>
    <t>材料成本</t>
    <phoneticPr fontId="5" type="noConversion"/>
  </si>
  <si>
    <t>施工成本</t>
    <phoneticPr fontId="5" type="noConversion"/>
  </si>
  <si>
    <t>浴室拆除地坪、浴缸、馬桶、牆壁60公分高
含廢棄物合法清運</t>
  </si>
  <si>
    <t>地坪以水泥砂漿施作洩水坡度及貼磚
含牆面水泥砂漿粉刷</t>
  </si>
  <si>
    <t>浴室塑膠天花板拆除更新
含廢棄物合法清運</t>
  </si>
  <si>
    <t>牆面施作SPC石塑防水牆版</t>
  </si>
  <si>
    <t>安裝衛浴設備
馬桶TOTO CW60GU、蓮蓬頭</t>
  </si>
  <si>
    <t xml:space="preserve">地坪高壓灌注德國明氏彈性密封樹脂既有防水層增生工法 工料 
MC INJECT 2300 </t>
  </si>
  <si>
    <t xml:space="preserve">牆角隅處及地坪伸縮縫施作瑞士西卡PU膠
SIKA CONSTRUCTION </t>
  </si>
  <si>
    <t>地坪及牆面施工面高壓水清洗
含人工小搬運</t>
  </si>
  <si>
    <t>地坪鋪設瑞士西卡抗裂纖維網 工料
Sikalastic Fleece-80</t>
  </si>
  <si>
    <r>
      <t>M</t>
    </r>
    <r>
      <rPr>
        <vertAlign val="superscript"/>
        <sz val="14"/>
        <rFont val="華康魏碑體"/>
        <family val="4"/>
        <charset val="136"/>
      </rPr>
      <t>2</t>
    </r>
    <r>
      <rPr>
        <sz val="12"/>
        <color theme="1"/>
        <rFont val="新細明體"/>
        <family val="2"/>
        <charset val="136"/>
        <scheme val="minor"/>
      </rPr>
      <t/>
    </r>
  </si>
  <si>
    <t>才</t>
    <phoneticPr fontId="5" type="noConversion"/>
  </si>
  <si>
    <t>施工天數</t>
    <phoneticPr fontId="5" type="noConversion"/>
  </si>
  <si>
    <t>台灣美光晶圓科技股份有限公司</t>
    <phoneticPr fontId="5" type="noConversion"/>
  </si>
  <si>
    <t>陳宇得 先生</t>
    <phoneticPr fontId="5" type="noConversion"/>
  </si>
  <si>
    <t>(03)327-2988  # 277236</t>
    <phoneticPr fontId="5" type="noConversion"/>
  </si>
  <si>
    <t>(03)328-6555</t>
    <phoneticPr fontId="5" type="noConversion"/>
  </si>
  <si>
    <t>chenyuder@micron.com</t>
    <phoneticPr fontId="5" type="noConversion"/>
  </si>
  <si>
    <t>材料總重</t>
    <phoneticPr fontId="5" type="noConversion"/>
  </si>
  <si>
    <t>材料總價</t>
    <phoneticPr fontId="5" type="noConversion"/>
  </si>
  <si>
    <t>$5100/組</t>
    <phoneticPr fontId="5" type="noConversion"/>
  </si>
  <si>
    <t>10L/桶
10L/桶(越南版)</t>
    <phoneticPr fontId="5" type="noConversion"/>
  </si>
  <si>
    <t>750ML/瓶</t>
    <phoneticPr fontId="5" type="noConversion"/>
  </si>
  <si>
    <t>600ML/條</t>
    <phoneticPr fontId="5" type="noConversion"/>
  </si>
  <si>
    <t>15.5KG/桶
7KG/桶</t>
    <phoneticPr fontId="5" type="noConversion"/>
  </si>
  <si>
    <t>2"*15M/卷
4"*15M/卷</t>
    <phoneticPr fontId="5" type="noConversion"/>
  </si>
  <si>
    <t>NPU12 A+B 10+1KG/組
T009 20KG/桶</t>
    <phoneticPr fontId="5" type="noConversion"/>
  </si>
  <si>
    <t>$3800/組</t>
    <phoneticPr fontId="5" type="noConversion"/>
  </si>
  <si>
    <t>混合液17KG/桶
粉體17KG/包</t>
    <phoneticPr fontId="5" type="noConversion"/>
  </si>
  <si>
    <t>$3800/組
3000</t>
    <phoneticPr fontId="5" type="noConversion"/>
  </si>
  <si>
    <t>科技儀器一般會勘(不提供報告書) 
工作天09:00~16:00、以專業儀器會勘
含專業報價單及工法說明</t>
    <phoneticPr fontId="3" type="noConversion"/>
  </si>
  <si>
    <t>科技儀器加班會勘(不提供報告書) 
平日晚上時間為17:00~20:00
假日白天時間為09:00~16:00</t>
    <phoneticPr fontId="3" type="noConversion"/>
  </si>
  <si>
    <t>2.乙方若於會勘前二小時內臨時取消會勘，預付之費用不予退還。</t>
    <phoneticPr fontId="5" type="noConversion"/>
  </si>
  <si>
    <t>3.會勘後提供之報價單，作業時間約5個工作天。</t>
    <phoneticPr fontId="5" type="noConversion"/>
  </si>
  <si>
    <r>
      <t>　</t>
    </r>
    <r>
      <rPr>
        <b/>
        <sz val="12"/>
        <rFont val="華康魏碑體"/>
        <family val="4"/>
        <charset val="136"/>
      </rPr>
      <t>費用</t>
    </r>
    <r>
      <rPr>
        <b/>
        <i/>
        <sz val="12"/>
        <rFont val="華康魏碑體"/>
        <family val="4"/>
        <charset val="136"/>
      </rPr>
      <t>叁仟元</t>
    </r>
    <r>
      <rPr>
        <sz val="12"/>
        <rFont val="華康魏碑體"/>
        <family val="4"/>
        <charset val="136"/>
      </rPr>
      <t>。該臨時封孔需等待一日乾燥後，才能進行積水測試，總計約3個工作日。</t>
    </r>
    <phoneticPr fontId="5" type="noConversion"/>
  </si>
  <si>
    <t>3.本報價單僅供預算評估，不做為報帳憑證使用。</t>
    <phoneticPr fontId="5" type="noConversion"/>
  </si>
  <si>
    <t>未稅金額</t>
    <phoneticPr fontId="5" type="noConversion"/>
  </si>
  <si>
    <t>5%稅金</t>
    <phoneticPr fontId="5" type="noConversion"/>
  </si>
  <si>
    <t>450/L
315/L</t>
    <phoneticPr fontId="5" type="noConversion"/>
  </si>
  <si>
    <t>$480/L
$480/L
$315/KG</t>
    <phoneticPr fontId="5" type="noConversion"/>
  </si>
  <si>
    <t>$450/L
$315/L</t>
    <phoneticPr fontId="5" type="noConversion"/>
  </si>
  <si>
    <t>KL-230_25kg/組 
20kgA+5kgB</t>
    <phoneticPr fontId="5" type="noConversion"/>
  </si>
  <si>
    <t>50SM/捲</t>
    <phoneticPr fontId="5" type="noConversion"/>
  </si>
  <si>
    <t>$180/捲</t>
    <phoneticPr fontId="5" type="noConversion"/>
  </si>
  <si>
    <t>SP-70AB_20kg/組</t>
    <phoneticPr fontId="5" type="noConversion"/>
  </si>
  <si>
    <t>30kg/組
20kgA+10kgB</t>
    <phoneticPr fontId="34" type="noConversion"/>
  </si>
  <si>
    <t>20kg
10kg</t>
    <phoneticPr fontId="5" type="noConversion"/>
  </si>
  <si>
    <t>30kg/組
20kgA+10kgB</t>
    <phoneticPr fontId="5" type="noConversion"/>
  </si>
  <si>
    <t>2300A 10L/桶
2300B 10L/桶
2188 18kg/桶</t>
    <phoneticPr fontId="5" type="noConversion"/>
  </si>
  <si>
    <t>20kg/組</t>
    <phoneticPr fontId="5" type="noConversion"/>
  </si>
  <si>
    <t>$100/kg</t>
    <phoneticPr fontId="5" type="noConversion"/>
  </si>
  <si>
    <t>$3750/組</t>
    <phoneticPr fontId="5" type="noConversion"/>
  </si>
  <si>
    <t>$600/kg</t>
    <phoneticPr fontId="5" type="noConversion"/>
  </si>
  <si>
    <t>KL-409_主劑22kg+硬化劑2kg
KL-530_5gal/桶</t>
    <phoneticPr fontId="5" type="noConversion"/>
  </si>
  <si>
    <t>$1800/組
$3500/組</t>
    <phoneticPr fontId="5" type="noConversion"/>
  </si>
  <si>
    <t>$135/瓶</t>
    <phoneticPr fontId="5" type="noConversion"/>
  </si>
  <si>
    <r>
      <t>伸縮縫專用高彈性填縫材填縫防水處理 工料
Sikaflex</t>
    </r>
    <r>
      <rPr>
        <sz val="14"/>
        <rFont val="Cambria"/>
        <family val="1"/>
      </rPr>
      <t>®</t>
    </r>
    <r>
      <rPr>
        <sz val="14"/>
        <rFont val="華康魏碑體"/>
        <family val="4"/>
        <charset val="136"/>
      </rPr>
      <t xml:space="preserve"> PRO-3單液型萬用彈性地坪填縫膠</t>
    </r>
    <phoneticPr fontId="3" type="noConversion"/>
  </si>
  <si>
    <t>$300/條</t>
    <phoneticPr fontId="5" type="noConversion"/>
  </si>
  <si>
    <r>
      <t>伸縮縫專用高彈性填縫材填縫防水處理
工料 含泡棉條 W=5~8CM,TH=2.5CM
Sikaflex</t>
    </r>
    <r>
      <rPr>
        <sz val="14"/>
        <rFont val="Cambria"/>
        <family val="1"/>
      </rPr>
      <t>®</t>
    </r>
    <r>
      <rPr>
        <sz val="14"/>
        <rFont val="華康魏碑體"/>
        <family val="4"/>
        <charset val="136"/>
      </rPr>
      <t xml:space="preserve"> 406 KC自流平PU膠</t>
    </r>
    <phoneticPr fontId="3" type="noConversion"/>
  </si>
  <si>
    <t>泡棉條_1m/條
406KC_10L/桶</t>
    <phoneticPr fontId="5" type="noConversion"/>
  </si>
  <si>
    <t>$3/條
$450/L</t>
    <phoneticPr fontId="5" type="noConversion"/>
  </si>
  <si>
    <t>泡棉條_1m/條
20支/箱</t>
    <phoneticPr fontId="5" type="noConversion"/>
  </si>
  <si>
    <t>$3/條
$230/支</t>
    <phoneticPr fontId="5" type="noConversion"/>
  </si>
  <si>
    <t>6000
2144</t>
    <phoneticPr fontId="5" type="noConversion"/>
  </si>
  <si>
    <t>5904/卷</t>
    <phoneticPr fontId="5" type="noConversion"/>
  </si>
  <si>
    <t>1476片/卷</t>
    <phoneticPr fontId="5" type="noConversion"/>
  </si>
  <si>
    <t>$40/M
$60.66/M</t>
    <phoneticPr fontId="5" type="noConversion"/>
  </si>
  <si>
    <t>$3800/組
$150/KG</t>
    <phoneticPr fontId="5" type="noConversion"/>
  </si>
  <si>
    <t>A9.5KG+B10.6KG/組</t>
    <phoneticPr fontId="5" type="noConversion"/>
  </si>
  <si>
    <t>2800/組</t>
    <phoneticPr fontId="5" type="noConversion"/>
  </si>
  <si>
    <t>12.3kgA+12.6kgB/組</t>
  </si>
  <si>
    <t>$3800/組</t>
  </si>
  <si>
    <t>鋪設抗裂纖維網(100cm) 工料</t>
    <phoneticPr fontId="3" type="noConversion"/>
  </si>
  <si>
    <t>鋪設抗裂纖維網(10cm) 工料</t>
    <phoneticPr fontId="3" type="noConversion"/>
  </si>
  <si>
    <t>鋪設抗裂纖維網(20cm) 工料</t>
    <phoneticPr fontId="3" type="noConversion"/>
  </si>
  <si>
    <t>100M/卷</t>
    <phoneticPr fontId="5" type="noConversion"/>
  </si>
  <si>
    <t>$5000/卷</t>
    <phoneticPr fontId="5" type="noConversion"/>
  </si>
  <si>
    <t>$600/卷</t>
    <phoneticPr fontId="5" type="noConversion"/>
  </si>
  <si>
    <t>$1000/卷</t>
    <phoneticPr fontId="5" type="noConversion"/>
  </si>
  <si>
    <t>管路周邊防火泥更新收頭處理 工料
FS-ONE MAX 高性能的膨脹型防火密封膠</t>
    <phoneticPr fontId="3" type="noConversion"/>
  </si>
  <si>
    <t>$160/KG
$160/KG</t>
    <phoneticPr fontId="5" type="noConversion"/>
  </si>
  <si>
    <t>$450/L
$315/L</t>
    <phoneticPr fontId="3" type="noConversion"/>
  </si>
  <si>
    <t>混合液17KG/桶
粉體17KG/包
纖維網100cm*100ml/卷
10cm*10ml/卷
20cm*20ml/卷</t>
    <phoneticPr fontId="5" type="noConversion"/>
  </si>
  <si>
    <t>$3800/組
纖維網$5000/卷
$600/卷
$1000/卷</t>
    <phoneticPr fontId="5" type="noConversion"/>
  </si>
  <si>
    <t>混合液14KG/桶
粉體20KG/包
纖維網100cm*100ml/卷
10cm*10ml/卷
20cm*20ml/卷</t>
    <phoneticPr fontId="5" type="noConversion"/>
  </si>
  <si>
    <t>$2500/桶
$1500/包
纖維網$5000/卷
$600/卷
$1000/卷</t>
    <phoneticPr fontId="5" type="noConversion"/>
  </si>
  <si>
    <t>$3800/組
$3000/桶</t>
    <phoneticPr fontId="5" type="noConversion"/>
  </si>
  <si>
    <t>12.3A+12.6Bkg/組
玻纖蓆300KG*1M/卷</t>
    <phoneticPr fontId="5" type="noConversion"/>
  </si>
  <si>
    <t>12.3A+12.6Bkg/組</t>
    <phoneticPr fontId="3" type="noConversion"/>
  </si>
  <si>
    <r>
      <t>5.仍需施工位置簡圖及施工大樣圖，需支付</t>
    </r>
    <r>
      <rPr>
        <b/>
        <sz val="12"/>
        <rFont val="華康魏碑體"/>
        <family val="4"/>
        <charset val="136"/>
      </rPr>
      <t>壹萬叁仟伍佰元</t>
    </r>
    <r>
      <rPr>
        <sz val="12"/>
        <rFont val="華康魏碑體"/>
        <family val="4"/>
        <charset val="136"/>
      </rPr>
      <t>之</t>
    </r>
    <r>
      <rPr>
        <sz val="12"/>
        <color rgb="FFFF0000"/>
        <rFont val="華康魏碑體"/>
        <family val="4"/>
        <charset val="136"/>
      </rPr>
      <t>設計費用</t>
    </r>
    <r>
      <rPr>
        <sz val="12"/>
        <rFont val="華康魏碑體"/>
        <family val="4"/>
        <charset val="136"/>
      </rPr>
      <t>，委由本公司施工可折抵工程款壹萬元。</t>
    </r>
    <phoneticPr fontId="5" type="noConversion"/>
  </si>
  <si>
    <t>專案負責人：陳文凱   Mobile：0910-929597</t>
  </si>
  <si>
    <t>專案負責人：王為先   Mobile：0912-247483</t>
    <phoneticPr fontId="3" type="noConversion"/>
  </si>
  <si>
    <t>專案負責人：王為先　Mobile：0912-247483</t>
    <phoneticPr fontId="3" type="noConversion"/>
  </si>
  <si>
    <t>18kg/包
纖維網100cm*100ml/卷
10cm*10ml/卷
20cm*20ml/卷</t>
    <phoneticPr fontId="5" type="noConversion"/>
  </si>
  <si>
    <t>$1300/包
纖維網$5000/卷
$600/卷
$1000/卷</t>
    <phoneticPr fontId="5" type="noConversion"/>
  </si>
  <si>
    <t>利潤</t>
    <phoneticPr fontId="5" type="noConversion"/>
  </si>
  <si>
    <t>材料用量</t>
    <phoneticPr fontId="5" type="noConversion"/>
  </si>
  <si>
    <t>方案一、頂樓地坪及女兒牆外牆防水工程</t>
    <phoneticPr fontId="5" type="noConversion"/>
  </si>
  <si>
    <t>方案二、頂樓地坪至七樓外牆防水工程</t>
    <phoneticPr fontId="5" type="noConversion"/>
  </si>
  <si>
    <t>簽約回傳後，
需預付壹仟元</t>
    <phoneticPr fontId="5" type="noConversion"/>
  </si>
  <si>
    <t>浴室或陽台現場積水測試(食用級色素)
1 間/ST 超過一間每間加價2000元
含染劑</t>
    <phoneticPr fontId="3" type="noConversion"/>
  </si>
  <si>
    <t>簽約回傳後，
需預付壹萬元</t>
    <phoneticPr fontId="5" type="noConversion"/>
  </si>
  <si>
    <t>13.報價有效至2024年12月31日止。</t>
    <phoneticPr fontId="5" type="noConversion"/>
  </si>
  <si>
    <t>材料用量</t>
  </si>
  <si>
    <t>材料用量</t>
    <phoneticPr fontId="3" type="noConversion"/>
  </si>
  <si>
    <t>外牆既有矽利康填縫材挖除 
工業繩索技術員施工</t>
    <phoneticPr fontId="3" type="noConversion"/>
  </si>
  <si>
    <t>外牆矽利康填縫材
SikaHyflex 355無汙染耐候防水膠填縫劑
工業繩索技術員施工</t>
    <phoneticPr fontId="3" type="noConversion"/>
  </si>
  <si>
    <t>矽利康填縫材
SikaHyflex 305AP耐候防水膠填縫劑
工業繩索技術員施工</t>
    <phoneticPr fontId="3" type="noConversion"/>
  </si>
  <si>
    <t>架繩點三級繩索守護員 1天/ST</t>
    <phoneticPr fontId="5" type="noConversion"/>
  </si>
  <si>
    <t>搭拆安全母索租金(責任施工)
工料 含鑽孔、拉脹螺絲及吊環固定、復原等</t>
    <phoneticPr fontId="3" type="noConversion"/>
  </si>
  <si>
    <t>工程地址：</t>
    <phoneticPr fontId="3" type="noConversion"/>
  </si>
  <si>
    <t>會勘費折抵  (已下訊息看完請刪除:請留意BNI不會折抵)</t>
    <phoneticPr fontId="5" type="noConversion"/>
  </si>
  <si>
    <t>施工單位成本</t>
    <phoneticPr fontId="5" type="noConversion"/>
  </si>
  <si>
    <t>含利潤金額</t>
    <phoneticPr fontId="5" type="noConversion"/>
  </si>
  <si>
    <t>RC頂板面以強固輕質環氧樹脂砂漿結構修補填平
STRONG EPOXY 502
深度&gt;3cm</t>
    <phoneticPr fontId="3" type="noConversion"/>
  </si>
  <si>
    <t>高壓灌注德國明氏發泡樹脂&amp;彈性密封樹脂
MC INJECT 2111 &amp; MC INJECT 2300 FLOW</t>
    <phoneticPr fontId="3" type="noConversion"/>
  </si>
  <si>
    <t>地坪高壓灌注德國明氏發泡樹脂&amp;彈性密封樹脂斷水施工
MC INJECT 2111 &amp; MC INJECT 2300 FLOW</t>
    <phoneticPr fontId="3" type="noConversion"/>
  </si>
  <si>
    <t>材料準備數量</t>
    <phoneticPr fontId="5" type="noConversion"/>
  </si>
  <si>
    <r>
      <t>塗佈台灣平坦適水性隔熱防水材 2.5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Pentens T-200 白色</t>
    </r>
    <phoneticPr fontId="3" type="noConversion"/>
  </si>
  <si>
    <r>
      <t>噴塗德國固斯特滲透結晶防水底材 0.25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K</t>
    </r>
    <r>
      <rPr>
        <sz val="14"/>
        <rFont val="Cambria"/>
        <family val="1"/>
      </rPr>
      <t>Ö</t>
    </r>
    <r>
      <rPr>
        <sz val="14"/>
        <rFont val="華康魏碑體"/>
        <family val="4"/>
        <charset val="136"/>
      </rPr>
      <t>STER Polysil TG 500</t>
    </r>
    <phoneticPr fontId="3" type="noConversion"/>
  </si>
  <si>
    <r>
      <t>牆面塗佈德國固斯特結晶防水材  3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K</t>
    </r>
    <r>
      <rPr>
        <sz val="14"/>
        <rFont val="Cambria"/>
        <family val="1"/>
      </rPr>
      <t>Ö</t>
    </r>
    <r>
      <rPr>
        <sz val="14"/>
        <rFont val="華康魏碑體"/>
        <family val="4"/>
        <charset val="136"/>
      </rPr>
      <t>STER NB 1 Grey</t>
    </r>
    <phoneticPr fontId="3" type="noConversion"/>
  </si>
  <si>
    <t>噪音工程</t>
    <phoneticPr fontId="5" type="noConversion"/>
  </si>
  <si>
    <t>壹</t>
    <phoneticPr fontId="5" type="noConversion"/>
  </si>
  <si>
    <t>拆除工程</t>
    <phoneticPr fontId="5" type="noConversion"/>
  </si>
  <si>
    <t>地坪打磨至水泥面
含粉塵收集及廢棄物合法運棄</t>
    <phoneticPr fontId="3" type="noConversion"/>
  </si>
  <si>
    <r>
      <t>地坪噴塗活水打底材 0.8 KG/M</t>
    </r>
    <r>
      <rPr>
        <vertAlign val="superscript"/>
        <sz val="14"/>
        <rFont val="華康魏碑體"/>
        <family val="4"/>
        <charset val="136"/>
      </rPr>
      <t>2</t>
    </r>
    <phoneticPr fontId="3" type="noConversion"/>
  </si>
  <si>
    <r>
      <t>牆角隅處施作德國固斯特MS防水密封膠 倒角145 ML/M
K</t>
    </r>
    <r>
      <rPr>
        <sz val="14"/>
        <rFont val="Calibri"/>
        <family val="4"/>
      </rPr>
      <t>öster MS Joint Sealant</t>
    </r>
    <phoneticPr fontId="3" type="noConversion"/>
  </si>
  <si>
    <r>
      <t>地坪塗佈德國固斯特雙組分環保隔熱防水材 
2.5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
K</t>
    </r>
    <r>
      <rPr>
        <sz val="14"/>
        <color rgb="FF000000"/>
        <rFont val="Calibri"/>
        <family val="4"/>
      </rPr>
      <t>öster 21</t>
    </r>
    <phoneticPr fontId="5" type="noConversion"/>
  </si>
  <si>
    <r>
      <t>浴室內塗佈瑞士西卡 1K 彈性水泥防水材 
2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含抗裂纖維網
Sikalastic</t>
    </r>
    <r>
      <rPr>
        <sz val="14"/>
        <rFont val="Calibri"/>
        <family val="4"/>
      </rPr>
      <t>® 1K</t>
    </r>
    <phoneticPr fontId="5" type="noConversion"/>
  </si>
  <si>
    <t>材料1總重</t>
    <phoneticPr fontId="5" type="noConversion"/>
  </si>
  <si>
    <t>材料1總價</t>
    <phoneticPr fontId="5" type="noConversion"/>
  </si>
  <si>
    <t>材料2總重</t>
    <phoneticPr fontId="5" type="noConversion"/>
  </si>
  <si>
    <t>材料2總價</t>
    <phoneticPr fontId="5" type="noConversion"/>
  </si>
  <si>
    <t>材料1設計用量</t>
    <phoneticPr fontId="5" type="noConversion"/>
  </si>
  <si>
    <t>材料2設計用量</t>
    <phoneticPr fontId="5" type="noConversion"/>
  </si>
  <si>
    <t>地坪高壓灌注德國彈性密封樹脂重建防水層
MC INJECT 2300 FLOW</t>
    <phoneticPr fontId="3" type="noConversion"/>
  </si>
  <si>
    <t>12.收款帳號 中國信託(822) 南勢角分行 戶名：傑凱工程行 帳號：819-54017488-1。</t>
    <phoneticPr fontId="5" type="noConversion"/>
  </si>
  <si>
    <r>
      <t>噴塗日本昭和矽酸質系塗布防水材 2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SHOWA DENKO CEREGUARD DS</t>
    </r>
    <phoneticPr fontId="5" type="noConversion"/>
  </si>
  <si>
    <r>
      <t>噴塗日本昭和陽離子超微粒打底材 0.4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SHOWA CATION PRIMER</t>
    </r>
    <phoneticPr fontId="5" type="noConversion"/>
  </si>
  <si>
    <r>
      <t>浴室塗佈日本昭和賽漏踏可 G 彈性水泥防水材 2.5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含抗裂纖維網
SHOWA DENKO Ceretac G</t>
    </r>
    <phoneticPr fontId="5" type="noConversion"/>
  </si>
  <si>
    <t>架設繩索 含臨時固定點安裝
工料 HILTI HST3</t>
  </si>
  <si>
    <t>架設繩索 含永久固定點安裝及拉拔測試 
工料 HILTI HST3-R M12x145 A4</t>
  </si>
  <si>
    <t>外牆永久偏離點安裝
工料 HILTI HSA-R2 M10x83 A2
工業繩索技術員施工</t>
  </si>
  <si>
    <t>外牆面磁磚巡檢
工業繩索技術員施工</t>
  </si>
  <si>
    <t>施工牆面高壓水清洗  
工業繩索技術員施工</t>
  </si>
  <si>
    <t>外牆裂縫處以德國明氏透明填縫材修補
MC Ultrament Klebe und Dichtpower MS-Polymer
工業繩索技術員施工</t>
  </si>
  <si>
    <t>施工面高壓高溫蒸氣清洗機清潔
蒸氣溫度&gt;100℃</t>
  </si>
  <si>
    <t>牆角德國明氏透明填縫材倒角
MC Ultrament Klebe und Dichtpower MS-Polymer</t>
  </si>
  <si>
    <t>牆角隅處施作瑞士西卡PU膠 倒角145 ML/M 
工料
SIKA CONSTRUCTION</t>
    <phoneticPr fontId="5" type="noConversion"/>
  </si>
  <si>
    <t>會勘費折抵  (已下訊息看完請刪除:請留意BNI不會折抵)</t>
  </si>
  <si>
    <t>雨遮預計3個工作天；窗戶施工預計4個工作天；室內預計3個工作天；共計10工作天。</t>
    <phoneticPr fontId="5" type="noConversion"/>
  </si>
  <si>
    <t>工業繩索技術員施工符合「職業安全衛生法設施規則第225條」之規定，施工人員皆有繩索技術證照。</t>
    <phoneticPr fontId="5" type="noConversion"/>
  </si>
  <si>
    <t>同意此報價後，將進行簽約，並於簽約後預付頭期工程款，以利工進。</t>
    <phoneticPr fontId="5" type="noConversion"/>
  </si>
  <si>
    <t>報價有效期限30天，並提供X年保固。</t>
    <phoneticPr fontId="5" type="noConversion"/>
  </si>
  <si>
    <t>本報價單僅供預算評估，不做為報帳憑證使用。</t>
    <phoneticPr fontId="5" type="noConversion"/>
  </si>
  <si>
    <t>因位置處於巷弄內，車輛無法進入，故搬運成本較高。</t>
    <phoneticPr fontId="5" type="noConversion"/>
  </si>
  <si>
    <t>油漆修補僅限於施工位置局部修補。</t>
    <phoneticPr fontId="5" type="noConversion"/>
  </si>
  <si>
    <t>工期預計25個工作天；共計25個工作天。</t>
    <phoneticPr fontId="5" type="noConversion"/>
  </si>
  <si>
    <t>地坪打磨至水泥面
含粉塵收集及廢棄物合法運棄</t>
  </si>
  <si>
    <r>
      <t>地坪以戶外修補砂漿整平 2mm以下 4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員和 SLC-303</t>
    </r>
    <phoneticPr fontId="5" type="noConversion"/>
  </si>
  <si>
    <t>地坪鋪設透氣網 工料
含不鏽鋼排氣罩</t>
  </si>
  <si>
    <t>以上報價已含5％營業稅，若需要統一編號，請通知專案負責人。</t>
    <phoneticPr fontId="5" type="noConversion"/>
  </si>
  <si>
    <t>乙方若於會勘前二小時內臨時取消會勘，預付之費用不予退還。</t>
    <phoneticPr fontId="5" type="noConversion"/>
  </si>
  <si>
    <t>會勘後提供之報價單，作業時間約5個工作天。</t>
    <phoneticPr fontId="5" type="noConversion"/>
  </si>
  <si>
    <t>本公司會在簽訂工程合約書時，加入施工位置簡圖作為合約附件，恕無法於報價階段提供。</t>
    <phoneticPr fontId="5" type="noConversion"/>
  </si>
  <si>
    <r>
      <t>現場積水測試為達最佳效果，可能須</t>
    </r>
    <r>
      <rPr>
        <b/>
        <sz val="14"/>
        <rFont val="華康魏碑體"/>
        <family val="4"/>
        <charset val="136"/>
      </rPr>
      <t>積水24小時以上；</t>
    </r>
    <r>
      <rPr>
        <sz val="14"/>
        <rFont val="華康魏碑體"/>
        <family val="4"/>
        <charset val="136"/>
      </rPr>
      <t>現場積水</t>
    </r>
    <r>
      <rPr>
        <sz val="14"/>
        <color rgb="FFFF0000"/>
        <rFont val="華康魏碑體"/>
        <family val="4"/>
        <charset val="136"/>
      </rPr>
      <t>若因地形而無法有效積水時</t>
    </r>
    <r>
      <rPr>
        <b/>
        <sz val="14"/>
        <rFont val="華康魏碑體"/>
        <family val="4"/>
        <charset val="136"/>
      </rPr>
      <t>，</t>
    </r>
    <r>
      <rPr>
        <sz val="14"/>
        <rFont val="華康魏碑體"/>
        <family val="4"/>
        <charset val="136"/>
      </rPr>
      <t>需</t>
    </r>
    <r>
      <rPr>
        <b/>
        <sz val="14"/>
        <rFont val="華康魏碑體"/>
        <family val="4"/>
        <charset val="136"/>
      </rPr>
      <t>另加排水管臨</t>
    </r>
    <phoneticPr fontId="5" type="noConversion"/>
  </si>
  <si>
    <r>
      <rPr>
        <b/>
        <sz val="14"/>
        <rFont val="華康魏碑體"/>
        <family val="4"/>
        <charset val="136"/>
      </rPr>
      <t>時封孔費用叁仟元</t>
    </r>
    <r>
      <rPr>
        <sz val="14"/>
        <rFont val="華康魏碑體"/>
        <family val="4"/>
        <charset val="136"/>
      </rPr>
      <t>。該臨時封孔需等待一日乾燥後，才能進行積水測試，總計約3個工作日。</t>
    </r>
    <phoneticPr fontId="5" type="noConversion"/>
  </si>
  <si>
    <r>
      <t>紅外線熱顯像儀</t>
    </r>
    <r>
      <rPr>
        <b/>
        <sz val="14"/>
        <rFont val="華康魏碑體"/>
        <family val="4"/>
        <charset val="136"/>
      </rPr>
      <t>可能無法檢測</t>
    </r>
    <r>
      <rPr>
        <sz val="14"/>
        <color indexed="10"/>
        <rFont val="華康魏碑體"/>
        <family val="4"/>
        <charset val="136"/>
      </rPr>
      <t>超過15公分以上的部位</t>
    </r>
    <r>
      <rPr>
        <sz val="14"/>
        <rFont val="華康魏碑體"/>
        <family val="4"/>
        <charset val="136"/>
      </rPr>
      <t>及</t>
    </r>
    <r>
      <rPr>
        <sz val="14"/>
        <color indexed="10"/>
        <rFont val="華康魏碑體"/>
        <family val="4"/>
        <charset val="136"/>
      </rPr>
      <t>被中空飾材遮蔽的部位</t>
    </r>
    <r>
      <rPr>
        <sz val="14"/>
        <rFont val="華康魏碑體"/>
        <family val="4"/>
        <charset val="136"/>
      </rPr>
      <t>。</t>
    </r>
    <phoneticPr fontId="5" type="noConversion"/>
  </si>
  <si>
    <t>現場若因環境因素而無法檢測，仍需支付全額科技儀器檢測費用。</t>
    <phoneticPr fontId="5" type="noConversion"/>
  </si>
  <si>
    <r>
      <t>科技儀器檢測報告書作業時間約</t>
    </r>
    <r>
      <rPr>
        <b/>
        <sz val="14"/>
        <rFont val="華康魏碑體"/>
        <family val="4"/>
        <charset val="136"/>
      </rPr>
      <t>10個工作天</t>
    </r>
    <r>
      <rPr>
        <sz val="14"/>
        <rFont val="華康魏碑體"/>
        <family val="4"/>
        <charset val="136"/>
      </rPr>
      <t>。</t>
    </r>
    <phoneticPr fontId="5" type="noConversion"/>
  </si>
  <si>
    <r>
      <t>同意此報價後，請於本報價單簽名用印回傳，並</t>
    </r>
    <r>
      <rPr>
        <b/>
        <i/>
        <sz val="14"/>
        <rFont val="華康魏碑體"/>
        <family val="4"/>
        <charset val="136"/>
      </rPr>
      <t>預付</t>
    </r>
    <r>
      <rPr>
        <sz val="14"/>
        <rFont val="華康魏碑體"/>
        <family val="4"/>
        <charset val="136"/>
      </rPr>
      <t>檢測費用，並於檢測結束後結清剩餘費用。</t>
    </r>
    <phoneticPr fontId="5" type="noConversion"/>
  </si>
  <si>
    <t>十</t>
    <phoneticPr fontId="5" type="noConversion"/>
  </si>
  <si>
    <t>十一</t>
    <phoneticPr fontId="5" type="noConversion"/>
  </si>
  <si>
    <t>十二</t>
    <phoneticPr fontId="5" type="noConversion"/>
  </si>
  <si>
    <t>勾選</t>
    <phoneticPr fontId="5" type="noConversion"/>
  </si>
  <si>
    <t>頂樓地坪及女兒牆外牆防水工程</t>
  </si>
  <si>
    <t>十年保固合約
完工後每兩年巡視一次，並於完工第六年及第九年施工</t>
  </si>
  <si>
    <t>頂樓地坪至七樓外牆防水工程</t>
  </si>
  <si>
    <t>金額總計</t>
  </si>
  <si>
    <t>一</t>
    <phoneticPr fontId="5" type="noConversion"/>
  </si>
  <si>
    <t>二</t>
    <phoneticPr fontId="5" type="noConversion"/>
  </si>
  <si>
    <t>三</t>
    <phoneticPr fontId="5" type="noConversion"/>
  </si>
  <si>
    <t>四</t>
    <phoneticPr fontId="5" type="noConversion"/>
  </si>
  <si>
    <t>五</t>
    <phoneticPr fontId="5" type="noConversion"/>
  </si>
  <si>
    <t>六</t>
    <phoneticPr fontId="5" type="noConversion"/>
  </si>
  <si>
    <t>七</t>
    <phoneticPr fontId="5" type="noConversion"/>
  </si>
  <si>
    <t>八</t>
    <phoneticPr fontId="5" type="noConversion"/>
  </si>
  <si>
    <t>九</t>
    <phoneticPr fontId="5" type="noConversion"/>
  </si>
  <si>
    <t>科技儀器抓漏報告書一份</t>
    <phoneticPr fontId="3" type="noConversion"/>
  </si>
  <si>
    <t>科技儀器抓漏 1戶(一戶)/ST
紅外線熱像測溫儀、混凝土水分儀、管壓測試、內視鏡檢查、色素灑水
不含報告書</t>
    <phoneticPr fontId="3" type="noConversion"/>
  </si>
  <si>
    <r>
      <t>外牆面鋪貼磁磚 工料 ≦1M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
工業繩索技術員施工</t>
    </r>
    <phoneticPr fontId="5" type="noConversion"/>
  </si>
  <si>
    <r>
      <t>外牆面塗佈日本昭和賽漏踏可 G 彈性水泥防水材 2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≦1M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
SHOWA DENKO Ceretac G
工業繩索技術員施工</t>
    </r>
    <phoneticPr fontId="5" type="noConversion"/>
  </si>
  <si>
    <r>
      <t>噴塗日本昭和陽離子超微粒打底材 0.4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SHOWA CATION PRIMER
工業繩索技術員施工</t>
    </r>
    <phoneticPr fontId="5" type="noConversion"/>
  </si>
  <si>
    <r>
      <t>外牆面塗佈日本昭和賽漏踏可 G 彈性水泥防水材 2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 
SHOWA DENKO Ceretac G
工業繩索技術員施工</t>
    </r>
    <phoneticPr fontId="5" type="noConversion"/>
  </si>
  <si>
    <r>
      <t>外牆塗佈德國明氏透明耐候型混凝土保護塗料 0.6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MC-Color Proof pro
工業繩索技術員施工</t>
    </r>
    <phoneticPr fontId="5" type="noConversion"/>
  </si>
  <si>
    <r>
      <t>外牆塗佈台灣平坦適透明防水底材 0.8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Pentens T009
工業繩索技術員施工</t>
    </r>
    <phoneticPr fontId="5" type="noConversion"/>
  </si>
  <si>
    <r>
      <t>外牆塗佈台灣平坦適透明防水面材 0.5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Pentens NPU12
工業繩索技術員施工</t>
    </r>
    <phoneticPr fontId="5" type="noConversion"/>
  </si>
  <si>
    <r>
      <t>地坪塗佈磁磚面透明防水聚脲 1.2 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>/KG
台亨 MICSIL 8800</t>
    </r>
    <phoneticPr fontId="5" type="noConversion"/>
  </si>
  <si>
    <r>
      <t>牆面磁磚縫塗佈逆轉滲混凝土逆滲透堵水劑  0.6 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>/KG
金絲猴 P-800</t>
    </r>
    <phoneticPr fontId="5" type="noConversion"/>
  </si>
  <si>
    <r>
      <t>塗佈無機奈米滲透防水材兩道 6.6 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>/KG
無機系統 RICHPROFIT SBN-9</t>
    </r>
    <phoneticPr fontId="5" type="noConversion"/>
  </si>
  <si>
    <r>
      <t>塗佈戶外磁磚無機抗污塗裝一道 5.6 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>/KG
無機系統 RICHPROFIT ST-639</t>
    </r>
    <phoneticPr fontId="5" type="noConversion"/>
  </si>
  <si>
    <r>
      <t>浴室內塗佈瑞士西卡 1K 彈性水泥防水材 
2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含抗裂纖維網
Sikalastic</t>
    </r>
    <r>
      <rPr>
        <sz val="14"/>
        <color rgb="FF000000"/>
        <rFont val="Cambria"/>
        <family val="1"/>
      </rPr>
      <t>®</t>
    </r>
    <r>
      <rPr>
        <sz val="14"/>
        <color rgb="FF000000"/>
        <rFont val="華康魏碑體"/>
        <family val="4"/>
        <charset val="136"/>
      </rPr>
      <t xml:space="preserve"> 1K</t>
    </r>
    <phoneticPr fontId="5" type="noConversion"/>
  </si>
  <si>
    <r>
      <t>地坪塗佈瑞士西卡層間接著劑底材 0.5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Sikalastic U Primer</t>
    </r>
    <phoneticPr fontId="5" type="noConversion"/>
  </si>
  <si>
    <r>
      <t>地坪塗佈瑞士西卡快速硬化型單組份聚胺脂 3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
Sikalastic</t>
    </r>
    <r>
      <rPr>
        <sz val="14"/>
        <color rgb="FF000000"/>
        <rFont val="Cambria"/>
        <family val="1"/>
      </rPr>
      <t>®</t>
    </r>
    <r>
      <rPr>
        <sz val="14"/>
        <color rgb="FF000000"/>
        <rFont val="華康魏碑體"/>
        <family val="4"/>
        <charset val="136"/>
      </rPr>
      <t xml:space="preserve"> 632 R</t>
    </r>
    <phoneticPr fontId="5" type="noConversion"/>
  </si>
  <si>
    <r>
      <t>牆面噴塗日本昭和陽離子超微粒打底材 0.5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SHOWA CATION PRIMER</t>
    </r>
    <phoneticPr fontId="5" type="noConversion"/>
  </si>
  <si>
    <r>
      <t>牆面塗佈德國明氏裂縫橋接性耐候型防塵防水隔熱混凝土保護塗料  1.5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MC-Color Flair pure TWN</t>
    </r>
    <phoneticPr fontId="5" type="noConversion"/>
  </si>
  <si>
    <r>
      <t>塗佈德國明氏裂縫橋接性耐候型防塵防水隔熱混凝土保護塗料 1.2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MC-Color Flair pure TWN
工業繩索技術員施工</t>
    </r>
    <phoneticPr fontId="5" type="noConversion"/>
  </si>
  <si>
    <r>
      <t>塗佈美國蓋福不垂流水性填縫材 1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GAF ROOFMATE BUTTER GRADE SEALANT</t>
    </r>
    <phoneticPr fontId="5" type="noConversion"/>
  </si>
  <si>
    <r>
      <t>塗佈美國蓋福不垂流水性填縫材 1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GAF ROOFMATE BUTTER GRADE SEALANT
工業繩索技術員施工</t>
    </r>
    <phoneticPr fontId="5" type="noConversion"/>
  </si>
  <si>
    <r>
      <t>塗佈德國明氏耐紫外線高彈性水性填縫材 1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MC EXPERT PROOF ONE
工業繩索技術員施工</t>
    </r>
    <phoneticPr fontId="5" type="noConversion"/>
  </si>
  <si>
    <t>施工牆面高壓水清洗 or 濕式噴砂清潔  
含石英砂
工業繩索技術員施工</t>
    <phoneticPr fontId="5" type="noConversion"/>
  </si>
  <si>
    <t>施工牆面高壓水清洗 or 濕式噴砂清潔
含石英砂</t>
    <phoneticPr fontId="3" type="noConversion"/>
  </si>
  <si>
    <r>
      <t>塗佈德國明氏裂縫橋接性耐候型防塵防水隔熱混凝土保護塗料  0.8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MC-Color Flair pure TWN
工業繩索技術員施工</t>
    </r>
    <phoneticPr fontId="5" type="noConversion"/>
  </si>
  <si>
    <t>外牆矽利康填縫材
陶熙道康寧991 耐候防水膠填縫劑
工業繩索技術員施工</t>
    <phoneticPr fontId="3" type="noConversion"/>
  </si>
  <si>
    <t>地坪浸泡矽酸質止漏液 
金絲猴 P-250</t>
    <phoneticPr fontId="5" type="noConversion"/>
  </si>
  <si>
    <t>科技儀器一般會勘(不提供報告書) 
紅外線熱像測溫儀、混凝土水分儀、內視鏡、空拍機、單眼相機　含專業報價單及工法說明
工作天09:00~16:00</t>
    <phoneticPr fontId="3" type="noConversion"/>
  </si>
  <si>
    <t>土木技師會勘
第一次會勘費用為50000元
第二次起每次會勘費用為25000元</t>
    <phoneticPr fontId="3" type="noConversion"/>
  </si>
  <si>
    <t>收款帳號 玉山銀行(808) 士林分行 戶名：台灣生活品質發展股份有限公司 帳號：0657-940-151307。</t>
    <phoneticPr fontId="5" type="noConversion"/>
  </si>
  <si>
    <t>工安管理費 10%
含危害因素告知單、每日工具箱會議、向政府申請外牆施工、申請路權、停車格申請、工程意外險、工程責任保險</t>
    <phoneticPr fontId="3" type="noConversion"/>
  </si>
  <si>
    <t>工安管理費 工程費12%
含危害因素告知單、每日工具箱會議、向政府申請外牆施工、申請路權、停車格申請、工程意外險、工程責任保險</t>
    <phoneticPr fontId="3" type="noConversion"/>
  </si>
  <si>
    <t>交通指揮人員，義交或另外指定人員 (人/ST)
含三角錐隔離</t>
    <phoneticPr fontId="3" type="noConversion"/>
  </si>
  <si>
    <t>地面交通管制員，義交或另外指定人員 1天/ST
含三角錐隔離</t>
    <phoneticPr fontId="3" type="noConversion"/>
  </si>
  <si>
    <t>吊車承攬 
7噸(天/ST)</t>
    <phoneticPr fontId="3" type="noConversion"/>
  </si>
  <si>
    <t>地坪切割打除斷水施工並施作德國亞德士快速止水粉
2.5 KG/M
ARDEX 66.M</t>
    <phoneticPr fontId="3" type="noConversion"/>
  </si>
  <si>
    <r>
      <t>水塔塗布瑞士西卡高光澤油性壓克力透明防水材
0.6 KG/M</t>
    </r>
    <r>
      <rPr>
        <vertAlign val="superscript"/>
        <sz val="14"/>
        <rFont val="華康魏碑體"/>
        <family val="4"/>
        <charset val="136"/>
      </rPr>
      <t xml:space="preserve">2  </t>
    </r>
    <r>
      <rPr>
        <sz val="14"/>
        <rFont val="華康魏碑體"/>
        <family val="4"/>
        <charset val="136"/>
      </rPr>
      <t>Sikagard-300 KNS</t>
    </r>
    <phoneticPr fontId="3" type="noConversion"/>
  </si>
  <si>
    <t>牆面既有泛水拆除及水泥砂漿粉刷整平
含廢棄物合法清運</t>
    <phoneticPr fontId="5" type="noConversion"/>
  </si>
  <si>
    <t>門檻止水條安裝</t>
    <phoneticPr fontId="5" type="noConversion"/>
  </si>
  <si>
    <r>
      <t>浴室地坪塗佈瑞士西卡 1K 彈性水泥防水材 
3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含抗裂纖維網
Sikalastic</t>
    </r>
    <r>
      <rPr>
        <sz val="14"/>
        <color rgb="FF000000"/>
        <rFont val="Cambria"/>
        <family val="1"/>
      </rPr>
      <t>®</t>
    </r>
    <r>
      <rPr>
        <sz val="14"/>
        <color rgb="FF000000"/>
        <rFont val="華康魏碑體"/>
        <family val="4"/>
        <charset val="136"/>
      </rPr>
      <t xml:space="preserve"> 1K</t>
    </r>
    <phoneticPr fontId="5" type="noConversion"/>
  </si>
  <si>
    <t>塗布一次</t>
    <phoneticPr fontId="5" type="noConversion"/>
  </si>
  <si>
    <t>塗布三次</t>
    <phoneticPr fontId="5" type="noConversion"/>
  </si>
  <si>
    <t>高壓灌注德國明氏彈性發泡樹脂
MC-INJECT 2111 FLEX</t>
    <phoneticPr fontId="3" type="noConversion"/>
  </si>
  <si>
    <t>窗框與結構體間隙高壓灌注德國明氏彈性發泡樹脂 含針孔補土
MC INJECT 2111 FLEX</t>
    <phoneticPr fontId="3" type="noConversion"/>
  </si>
  <si>
    <r>
      <t>塗佈德國明氏耐紫外線高彈性水性填縫材 1.6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MC EXPERT PROOF ONE</t>
    </r>
    <phoneticPr fontId="5" type="noConversion"/>
  </si>
  <si>
    <r>
      <t>地坪及女兒牆塗佈瑞士西卡經濟型水性屋頂防水塗料 1.2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  
Sikalastic</t>
    </r>
    <r>
      <rPr>
        <sz val="14"/>
        <rFont val="Cambria"/>
        <family val="1"/>
      </rPr>
      <t>®</t>
    </r>
    <r>
      <rPr>
        <sz val="14"/>
        <rFont val="華康魏碑體"/>
        <family val="4"/>
        <charset val="136"/>
      </rPr>
      <t xml:space="preserve">-590 </t>
    </r>
    <phoneticPr fontId="5" type="noConversion"/>
  </si>
  <si>
    <r>
      <t>噴塗日本昭和陽離子超微粒打底材 0.5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SHOWA CATION PRIMER</t>
    </r>
    <phoneticPr fontId="5" type="noConversion"/>
  </si>
  <si>
    <t>每坪價格</t>
    <phoneticPr fontId="5" type="noConversion"/>
  </si>
  <si>
    <t>工程名稱：住家防水工程</t>
    <phoneticPr fontId="3" type="noConversion"/>
  </si>
  <si>
    <r>
      <t>噴塗台灣平坦式水泥接著劑打底材 0.6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PENTENS T007</t>
    </r>
    <phoneticPr fontId="5" type="noConversion"/>
  </si>
  <si>
    <t>以上報價包含營業稅，報價有效期限30天，並提供X年保固。</t>
    <phoneticPr fontId="5" type="noConversion"/>
  </si>
  <si>
    <r>
      <t>外牆塗布瑞士西卡高光澤油性壓克力透明防水材
0.6 KG/M</t>
    </r>
    <r>
      <rPr>
        <vertAlign val="superscript"/>
        <sz val="14"/>
        <rFont val="華康魏碑體"/>
        <family val="4"/>
        <charset val="136"/>
      </rPr>
      <t xml:space="preserve">2  </t>
    </r>
    <r>
      <rPr>
        <sz val="14"/>
        <rFont val="華康魏碑體"/>
        <family val="4"/>
        <charset val="136"/>
      </rPr>
      <t>Sikagard-300 KNS
工業繩索技術員施工</t>
    </r>
    <phoneticPr fontId="3" type="noConversion"/>
  </si>
  <si>
    <r>
      <t>浴室牆面塗布瑞士西卡水性改質瀝青防水材
1.2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SIKA Igolflex 301</t>
    </r>
    <phoneticPr fontId="5" type="noConversion"/>
  </si>
  <si>
    <r>
      <t>浴室地坪面塗布瑞士西卡水性改質瀝青防水材
3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SIKA Igolflex 301</t>
    </r>
    <phoneticPr fontId="5" type="noConversion"/>
  </si>
  <si>
    <t>塗布二次</t>
    <phoneticPr fontId="5" type="noConversion"/>
  </si>
  <si>
    <t xml:space="preserve">浴室牆角隅處施作德國明式改質矽膠 倒角100 ML/M
MC Ultrament Klebe und Dichtpower"	</t>
    <phoneticPr fontId="3" type="noConversion"/>
  </si>
  <si>
    <t>塗布五次</t>
    <phoneticPr fontId="5" type="noConversion"/>
  </si>
  <si>
    <r>
      <t>浴室地坪塗佈日本昭和賽漏踏可 JW 彈性水泥防水材 5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含抗裂纖維網
SHOWA DENKO Ceretac JW</t>
    </r>
    <phoneticPr fontId="5" type="noConversion"/>
  </si>
  <si>
    <r>
      <t>浴室牆面塗佈瑞士西卡 1K 彈性水泥防水材 
1.2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含抗裂纖維網 網高100cm
Sikalastic</t>
    </r>
    <r>
      <rPr>
        <sz val="14"/>
        <color rgb="FF000000"/>
        <rFont val="Calibri"/>
        <family val="1"/>
        <charset val="136"/>
      </rPr>
      <t>®</t>
    </r>
    <r>
      <rPr>
        <sz val="14"/>
        <color rgb="FF000000"/>
        <rFont val="華康魏碑體"/>
        <family val="4"/>
        <charset val="136"/>
      </rPr>
      <t xml:space="preserve"> 1K</t>
    </r>
    <phoneticPr fontId="5" type="noConversion"/>
  </si>
  <si>
    <r>
      <t>浴室防水-</t>
    </r>
    <r>
      <rPr>
        <sz val="14"/>
        <color rgb="FFFF0000"/>
        <rFont val="華康魏碑體"/>
        <family val="4"/>
        <charset val="136"/>
      </rPr>
      <t>叁年保固</t>
    </r>
    <r>
      <rPr>
        <sz val="14"/>
        <rFont val="華康魏碑體"/>
        <family val="4"/>
        <charset val="136"/>
      </rPr>
      <t xml:space="preserve"> 防水層到天花板</t>
    </r>
    <phoneticPr fontId="5" type="noConversion"/>
  </si>
  <si>
    <r>
      <t>浴室防水-</t>
    </r>
    <r>
      <rPr>
        <sz val="14"/>
        <color rgb="FFFF0000"/>
        <rFont val="華康魏碑體"/>
        <family val="4"/>
        <charset val="136"/>
      </rPr>
      <t>貳年保固</t>
    </r>
    <r>
      <rPr>
        <sz val="14"/>
        <rFont val="華康魏碑體"/>
        <family val="4"/>
        <charset val="136"/>
      </rPr>
      <t xml:space="preserve"> 防水層高200cm </t>
    </r>
    <phoneticPr fontId="5" type="noConversion"/>
  </si>
  <si>
    <r>
      <t>浴室防水-</t>
    </r>
    <r>
      <rPr>
        <sz val="14"/>
        <color rgb="FFFF0000"/>
        <rFont val="華康魏碑體"/>
        <family val="4"/>
        <charset val="136"/>
      </rPr>
      <t>伍年保固</t>
    </r>
    <r>
      <rPr>
        <sz val="14"/>
        <rFont val="華康魏碑體"/>
        <family val="4"/>
        <charset val="136"/>
      </rPr>
      <t xml:space="preserve"> 防水層到天花板</t>
    </r>
    <phoneticPr fontId="5" type="noConversion"/>
  </si>
  <si>
    <r>
      <t xml:space="preserve">廚房、陽台、室內地坪 </t>
    </r>
    <r>
      <rPr>
        <sz val="14"/>
        <color rgb="FFFF0000"/>
        <rFont val="華康魏碑體"/>
        <family val="4"/>
        <charset val="136"/>
      </rPr>
      <t>保固一年</t>
    </r>
    <phoneticPr fontId="5" type="noConversion"/>
  </si>
  <si>
    <r>
      <t>浴室牆面塗佈日本昭和賽漏踏可 JW 彈性水泥防水材 2.5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含抗裂纖維網 網高至天花板
SHOWA DENKO Ceretac JW</t>
    </r>
    <phoneticPr fontId="5" type="noConversion"/>
  </si>
  <si>
    <t>浴室牆角隅處施作德國明式改質矽膠 倒角100 ML/M
MC Ultrament Klebe und Dichtpower</t>
    <phoneticPr fontId="5" type="noConversion"/>
  </si>
  <si>
    <r>
      <t>浴室塗布瑞士西卡彈性水泥防水材
2.5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 SIKA Sikalastic</t>
    </r>
    <r>
      <rPr>
        <sz val="14"/>
        <rFont val="Calibri"/>
        <family val="4"/>
        <charset val="136"/>
      </rPr>
      <t>®</t>
    </r>
    <r>
      <rPr>
        <sz val="14"/>
        <rFont val="華康魏碑體"/>
        <family val="4"/>
        <charset val="136"/>
      </rPr>
      <t>-1K</t>
    </r>
    <phoneticPr fontId="5" type="noConversion"/>
  </si>
  <si>
    <r>
      <t>地坪面塗布瑞士西卡水性改質瀝青防水材 3.5 KG/M</t>
    </r>
    <r>
      <rPr>
        <vertAlign val="superscript"/>
        <sz val="14"/>
        <color rgb="FF000000"/>
        <rFont val="華康魏碑體"/>
        <family val="4"/>
        <charset val="136"/>
      </rPr>
      <t>2</t>
    </r>
    <r>
      <rPr>
        <sz val="14"/>
        <color indexed="8"/>
        <rFont val="華康魏碑體"/>
        <family val="4"/>
        <charset val="136"/>
      </rPr>
      <t xml:space="preserve"> 工料
SIKA Igolflex 301</t>
    </r>
    <phoneticPr fontId="5" type="noConversion"/>
  </si>
  <si>
    <t>牆面及天花板打磨至水泥面
含集塵設施、周遭環境保護</t>
    <phoneticPr fontId="3" type="noConversion"/>
  </si>
  <si>
    <t>浴室工期預計3個工作天;第肆大項預計2工作天。</t>
    <phoneticPr fontId="5" type="noConversion"/>
  </si>
  <si>
    <t>住家修繕防水</t>
    <phoneticPr fontId="5" type="noConversion"/>
  </si>
  <si>
    <t>負水壓修繕</t>
    <phoneticPr fontId="5" type="noConversion"/>
  </si>
  <si>
    <r>
      <t xml:space="preserve">牆面及天花板打磨至水泥面 </t>
    </r>
    <r>
      <rPr>
        <sz val="14"/>
        <color rgb="FFFF0000"/>
        <rFont val="華康魏碑體"/>
        <family val="4"/>
        <charset val="136"/>
      </rPr>
      <t>數量&lt;10m</t>
    </r>
    <r>
      <rPr>
        <vertAlign val="superscript"/>
        <sz val="14"/>
        <color rgb="FFFF0000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含集塵設施、周遭環境保護 </t>
    </r>
    <phoneticPr fontId="3" type="noConversion"/>
  </si>
  <si>
    <r>
      <t xml:space="preserve">窗框與結構體間隙高壓灌注德國明氏彈性發泡樹脂 </t>
    </r>
    <r>
      <rPr>
        <sz val="14"/>
        <color rgb="FFFF0000"/>
        <rFont val="華康魏碑體"/>
        <family val="4"/>
        <charset val="136"/>
      </rPr>
      <t>數量&lt;13m</t>
    </r>
    <r>
      <rPr>
        <sz val="14"/>
        <rFont val="華康魏碑體"/>
        <family val="4"/>
        <charset val="136"/>
      </rPr>
      <t xml:space="preserve">
MC INJECT 2111 FLEX </t>
    </r>
    <phoneticPr fontId="3" type="noConversion"/>
  </si>
  <si>
    <r>
      <t>噴塗日本昭和矽酸質系塗布防水材 2 KG/M</t>
    </r>
    <r>
      <rPr>
        <vertAlign val="superscript"/>
        <sz val="14"/>
        <rFont val="華康魏碑體"/>
        <family val="4"/>
        <charset val="136"/>
      </rPr>
      <t xml:space="preserve">2  </t>
    </r>
    <r>
      <rPr>
        <sz val="14"/>
        <color rgb="FFFF0000"/>
        <rFont val="華康魏碑體"/>
        <family val="4"/>
        <charset val="136"/>
      </rPr>
      <t>數量&lt;10m</t>
    </r>
    <r>
      <rPr>
        <vertAlign val="superscript"/>
        <sz val="14"/>
        <color rgb="FFFF0000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SHOWA DENKO CEREGUARD DS </t>
    </r>
    <phoneticPr fontId="3" type="noConversion"/>
  </si>
  <si>
    <r>
      <t xml:space="preserve">地下室高壓灌注德國明氏發泡樹脂&amp;彈性密封樹脂 </t>
    </r>
    <r>
      <rPr>
        <sz val="14"/>
        <color rgb="FFFF0000"/>
        <rFont val="華康魏碑體"/>
        <family val="4"/>
        <charset val="136"/>
      </rPr>
      <t>數量&lt;12m</t>
    </r>
    <r>
      <rPr>
        <vertAlign val="superscript"/>
        <sz val="14"/>
        <color rgb="FFFF0000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MC INJECT 2111 &amp; MC INJECT 2300 FLOW </t>
    </r>
    <phoneticPr fontId="3" type="noConversion"/>
  </si>
  <si>
    <t xml:space="preserve">地下室高壓灌注德國明氏發泡樹脂&amp;彈性密封樹脂
MC INJECT 2111 &amp; MC INJECT 2300 FLOW </t>
    <phoneticPr fontId="3" type="noConversion"/>
  </si>
  <si>
    <r>
      <t xml:space="preserve">地上層天花板及牆面高壓灌注德國明氏彈性發泡樹脂 </t>
    </r>
    <r>
      <rPr>
        <sz val="14"/>
        <color rgb="FFFF0000"/>
        <rFont val="華康魏碑體"/>
        <family val="4"/>
        <charset val="136"/>
      </rPr>
      <t>數量&lt;30m</t>
    </r>
    <r>
      <rPr>
        <vertAlign val="superscript"/>
        <sz val="14"/>
        <color rgb="FFFF0000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MC-INJECT 2111 FLEX </t>
    </r>
    <phoneticPr fontId="3" type="noConversion"/>
  </si>
  <si>
    <t>地上層天花板及牆面高壓灌注德國明氏彈性發泡樹脂
MC-INJECT 2111 FLEX</t>
    <phoneticPr fontId="3" type="noConversion"/>
  </si>
  <si>
    <t>叁</t>
    <phoneticPr fontId="5" type="noConversion"/>
  </si>
  <si>
    <t>屋頂防水修繕</t>
    <phoneticPr fontId="5" type="noConversion"/>
  </si>
  <si>
    <t>地坪高壓灌注德國明氏彈性密封樹脂斷水施工
MC INJECT 2300 Flex</t>
    <phoneticPr fontId="3" type="noConversion"/>
  </si>
  <si>
    <r>
      <t xml:space="preserve">透氣工法 </t>
    </r>
    <r>
      <rPr>
        <sz val="14"/>
        <color rgb="FFFF0000"/>
        <rFont val="華康魏碑體"/>
        <family val="4"/>
        <charset val="136"/>
      </rPr>
      <t>保固三年</t>
    </r>
    <phoneticPr fontId="5" type="noConversion"/>
  </si>
  <si>
    <r>
      <t xml:space="preserve">打除工法 </t>
    </r>
    <r>
      <rPr>
        <sz val="14"/>
        <color rgb="FFFF0000"/>
        <rFont val="華康魏碑體"/>
        <family val="4"/>
        <charset val="136"/>
      </rPr>
      <t>保固三年</t>
    </r>
    <phoneticPr fontId="5" type="noConversion"/>
  </si>
  <si>
    <t>活動工作架拆裝(7公尺以下)                     
須符合勞委會頒布之營造安全衛生設施標準</t>
    <phoneticPr fontId="3" type="noConversion"/>
  </si>
  <si>
    <r>
      <rPr>
        <sz val="14"/>
        <rFont val="新細明體"/>
        <family val="1"/>
        <charset val="136"/>
      </rPr>
      <t>牆面粉刷矽藻漆二道
含批土磨平
森呼吸矽藻漆</t>
    </r>
    <r>
      <rPr>
        <sz val="14"/>
        <rFont val="細明體-ExtB"/>
        <family val="1"/>
        <charset val="136"/>
      </rPr>
      <t>GR0501</t>
    </r>
    <phoneticPr fontId="3" type="noConversion"/>
  </si>
  <si>
    <r>
      <t>地坪塗佈彈性水泥防水材 
1.2 KG/M</t>
    </r>
    <r>
      <rPr>
        <vertAlign val="superscript"/>
        <sz val="14"/>
        <color rgb="FF000000"/>
        <rFont val="華康魏碑體"/>
        <family val="4"/>
        <charset val="136"/>
      </rPr>
      <t>2</t>
    </r>
    <phoneticPr fontId="5" type="noConversion"/>
  </si>
  <si>
    <r>
      <t xml:space="preserve">地下室 </t>
    </r>
    <r>
      <rPr>
        <sz val="14"/>
        <color rgb="FFFF0000"/>
        <rFont val="華康魏碑體"/>
        <family val="4"/>
        <charset val="136"/>
      </rPr>
      <t>保固三年</t>
    </r>
    <phoneticPr fontId="5" type="noConversion"/>
  </si>
  <si>
    <r>
      <t xml:space="preserve">地下室最低數量 </t>
    </r>
    <r>
      <rPr>
        <sz val="14"/>
        <color rgb="FFFF0000"/>
        <rFont val="華康魏碑體"/>
        <family val="4"/>
        <charset val="136"/>
      </rPr>
      <t>保固三年</t>
    </r>
    <phoneticPr fontId="5" type="noConversion"/>
  </si>
  <si>
    <r>
      <t xml:space="preserve">地上層 </t>
    </r>
    <r>
      <rPr>
        <sz val="14"/>
        <color rgb="FFFF0000"/>
        <rFont val="華康魏碑體"/>
        <family val="4"/>
        <charset val="136"/>
      </rPr>
      <t>保固二年</t>
    </r>
    <phoneticPr fontId="5" type="noConversion"/>
  </si>
  <si>
    <r>
      <t xml:space="preserve">地上層最低數量 </t>
    </r>
    <r>
      <rPr>
        <sz val="14"/>
        <color rgb="FFFF0000"/>
        <rFont val="華康魏碑體"/>
        <family val="4"/>
        <charset val="136"/>
      </rPr>
      <t>保固二年</t>
    </r>
    <phoneticPr fontId="5" type="noConversion"/>
  </si>
  <si>
    <t>帶料項</t>
    <phoneticPr fontId="5" type="noConversion"/>
  </si>
  <si>
    <t>工資項</t>
    <phoneticPr fontId="5" type="noConversion"/>
  </si>
  <si>
    <r>
      <t>塗布ST-66無機透明系統防水材二道 0.3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含工業酒精清潔</t>
    </r>
    <phoneticPr fontId="5" type="noConversion"/>
  </si>
  <si>
    <t xml:space="preserve">ST-66透明無機透明系統
利匯豐 </t>
    <phoneticPr fontId="5" type="noConversion"/>
  </si>
  <si>
    <t>Amonster-3高分子聚合物透明防水材
利匯豐</t>
    <phoneticPr fontId="5" type="noConversion"/>
  </si>
  <si>
    <r>
      <t>塗布Amonster-3高分子聚合物透明防水材四道 0.7 KG/M</t>
    </r>
    <r>
      <rPr>
        <vertAlign val="superscript"/>
        <sz val="14"/>
        <rFont val="華康魏碑體"/>
        <family val="4"/>
        <charset val="136"/>
      </rPr>
      <t>2</t>
    </r>
    <r>
      <rPr>
        <sz val="14"/>
        <rFont val="華康魏碑體"/>
        <family val="4"/>
        <charset val="136"/>
      </rPr>
      <t xml:space="preserve">
含工業酒精清潔</t>
    </r>
    <phoneticPr fontId="5" type="noConversion"/>
  </si>
  <si>
    <t>以上報價包含營業稅，報價有效期限30天。</t>
    <phoneticPr fontId="5" type="noConversion"/>
  </si>
  <si>
    <t>本報價不含素地面整理，甲方交付施工前，應該進行清潔及施工面整平，乙方確認地坪品質後，方能施工。</t>
    <phoneticPr fontId="5" type="noConversion"/>
  </si>
  <si>
    <t>簡廷桓</t>
    <phoneticPr fontId="5" type="noConversion"/>
  </si>
  <si>
    <t>桓盛有限公司</t>
    <phoneticPr fontId="5" type="noConversion"/>
  </si>
  <si>
    <t>內視鏡檢查管線或管道間 1戶(一層樓)/ST
樓高三十公尺內
不含報告書</t>
    <phoneticPr fontId="3" type="noConversion"/>
  </si>
  <si>
    <t>施工位置簡圖及防水施作細部大樣圖
若委由本公司施工，可折抵工程款貳萬元</t>
    <phoneticPr fontId="3" type="noConversion"/>
  </si>
  <si>
    <t>仍需施工位置簡圖及施工大樣圖，需支付貳萬伍仟元之設計費用，委由本公司施工可折抵工程款貳萬元。</t>
    <phoneticPr fontId="5" type="noConversion"/>
  </si>
  <si>
    <t>報價有效至2026年1月31日止。</t>
    <phoneticPr fontId="5" type="noConversion"/>
  </si>
  <si>
    <t>浴室或陽台現場積水測試(食用級色素或螢光色劑)
1 間/ST 超過一間每間加價2000元</t>
    <phoneticPr fontId="3" type="noConversion"/>
  </si>
  <si>
    <t>高空自走作業車租用 (租期3天以內)一天租金
車子可作業之最高高度36M</t>
    <phoneticPr fontId="3" type="noConversion"/>
  </si>
  <si>
    <t>牆面粉刷矽藻漆二道
含樂繕批土磨平
森呼吸矽藻漆GR0501、樂繕超薄抹面砂漿白色</t>
    <phoneticPr fontId="3" type="noConversion"/>
  </si>
  <si>
    <t>牆面施作德國亞德士快速止水粉
ARDEX 66.M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</si>
</sst>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-* #,##0.0_-;\-* #,##0.0_-;_-* &quot;-&quot;_-;_-@_-"/>
    <numFmt numFmtId="178" formatCode="_-* #,##0.0_-;\-* #,##0.0_-;_-* &quot;-&quot;?_-;_-@_-"/>
    <numFmt numFmtId="179" formatCode="#,##0_ ;[Red]\-#,##0\ "/>
    <numFmt numFmtId="180" formatCode="0.0%"/>
    <numFmt numFmtId="181" formatCode="_-* #,##0_-;\-* #,##0_-;_-* &quot;-&quot;??_-;_-@_-"/>
    <numFmt numFmtId="182" formatCode="[DBNum1][$-404]General"/>
    <numFmt numFmtId="183" formatCode="0_);[Red]\(0\)"/>
    <numFmt numFmtId="184" formatCode="#,##0.00_ ;[Red]\-#,##0.00\ "/>
    <numFmt numFmtId="185" formatCode="_(* #,##0.0_);_(* \(#,##0.0\);_(* &quot;-&quot;?_);_(@_)"/>
  </numFmts>
  <fonts count="49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u/>
      <sz val="10.199999999999999"/>
      <color indexed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華康魏碑體"/>
      <family val="4"/>
      <charset val="136"/>
    </font>
    <font>
      <sz val="14"/>
      <name val="華康魏碑體"/>
      <family val="4"/>
      <charset val="136"/>
    </font>
    <font>
      <b/>
      <sz val="12"/>
      <name val="華康魏碑體"/>
      <family val="4"/>
      <charset val="136"/>
    </font>
    <font>
      <b/>
      <u/>
      <sz val="14"/>
      <name val="華康魏碑體"/>
      <family val="4"/>
      <charset val="136"/>
    </font>
    <font>
      <b/>
      <sz val="14"/>
      <name val="華康魏碑體"/>
      <family val="4"/>
      <charset val="136"/>
    </font>
    <font>
      <u/>
      <sz val="14"/>
      <name val="華康魏碑體"/>
      <family val="4"/>
      <charset val="136"/>
    </font>
    <font>
      <sz val="14"/>
      <color indexed="8"/>
      <name val="華康魏碑體"/>
      <family val="4"/>
      <charset val="136"/>
    </font>
    <font>
      <b/>
      <i/>
      <sz val="14"/>
      <name val="華康魏碑體"/>
      <family val="4"/>
      <charset val="136"/>
    </font>
    <font>
      <vertAlign val="superscript"/>
      <sz val="14"/>
      <name val="華康魏碑體"/>
      <family val="4"/>
      <charset val="136"/>
    </font>
    <font>
      <sz val="24"/>
      <name val="華康魏碑體"/>
      <family val="4"/>
      <charset val="136"/>
    </font>
    <font>
      <sz val="14"/>
      <color indexed="10"/>
      <name val="華康魏碑體"/>
      <family val="4"/>
      <charset val="136"/>
    </font>
    <font>
      <b/>
      <u/>
      <sz val="20"/>
      <name val="華康魏碑體"/>
      <family val="4"/>
      <charset val="136"/>
    </font>
    <font>
      <sz val="12"/>
      <color indexed="10"/>
      <name val="華康魏碑體"/>
      <family val="4"/>
      <charset val="136"/>
    </font>
    <font>
      <b/>
      <i/>
      <sz val="12"/>
      <name val="華康魏碑體"/>
      <family val="4"/>
      <charset val="136"/>
    </font>
    <font>
      <sz val="20"/>
      <name val="華康魏碑體"/>
      <family val="4"/>
      <charset val="136"/>
    </font>
    <font>
      <sz val="11"/>
      <name val="華康魏碑體"/>
      <family val="4"/>
      <charset val="136"/>
    </font>
    <font>
      <u/>
      <sz val="14"/>
      <color indexed="12"/>
      <name val="華康魏碑體"/>
      <family val="4"/>
      <charset val="136"/>
    </font>
    <font>
      <sz val="14"/>
      <name val="Calibri"/>
      <family val="2"/>
      <charset val="161"/>
    </font>
    <font>
      <sz val="14"/>
      <color indexed="8"/>
      <name val="Calibri"/>
      <family val="2"/>
      <charset val="161"/>
    </font>
    <font>
      <sz val="14"/>
      <color indexed="8"/>
      <name val="Calibri"/>
      <family val="2"/>
    </font>
    <font>
      <sz val="14"/>
      <color rgb="FF000000"/>
      <name val="華康魏碑體"/>
      <family val="4"/>
      <charset val="136"/>
    </font>
    <font>
      <b/>
      <sz val="14"/>
      <color rgb="FFFF0000"/>
      <name val="華康魏碑體"/>
      <family val="4"/>
      <charset val="136"/>
    </font>
    <font>
      <sz val="14"/>
      <name val="Calibri"/>
      <family val="4"/>
    </font>
    <font>
      <sz val="12"/>
      <color rgb="FFFF0000"/>
      <name val="華康魏碑體"/>
      <family val="4"/>
      <charset val="136"/>
    </font>
    <font>
      <sz val="14"/>
      <name val="華康徽宗宮體W5"/>
      <family val="4"/>
      <charset val="136"/>
    </font>
    <font>
      <sz val="14"/>
      <color theme="1"/>
      <name val="華康魏碑體"/>
      <family val="4"/>
      <charset val="136"/>
    </font>
    <font>
      <u/>
      <sz val="10.199999999999999"/>
      <color indexed="12"/>
      <name val="華康魏碑體"/>
      <family val="4"/>
      <charset val="136"/>
    </font>
    <font>
      <sz val="9"/>
      <name val="新細明體"/>
      <family val="2"/>
      <charset val="136"/>
      <scheme val="minor"/>
    </font>
    <font>
      <sz val="14"/>
      <name val="Cambria"/>
      <family val="1"/>
    </font>
    <font>
      <sz val="14"/>
      <color rgb="FFFF0000"/>
      <name val="華康徽宗宮體W5"/>
      <family val="4"/>
      <charset val="136"/>
    </font>
    <font>
      <b/>
      <sz val="14"/>
      <color rgb="FF0070C0"/>
      <name val="華康徽宗宮體W5"/>
      <family val="4"/>
      <charset val="136"/>
    </font>
    <font>
      <b/>
      <sz val="14"/>
      <color rgb="FF0070C0"/>
      <name val="華康魏碑體"/>
      <family val="4"/>
      <charset val="136"/>
    </font>
    <font>
      <sz val="14"/>
      <color theme="9" tint="-0.249977111117893"/>
      <name val="華康徽宗宮體W5"/>
      <family val="4"/>
      <charset val="136"/>
    </font>
    <font>
      <vertAlign val="superscript"/>
      <sz val="14"/>
      <color rgb="FF000000"/>
      <name val="華康魏碑體"/>
      <family val="4"/>
      <charset val="136"/>
    </font>
    <font>
      <sz val="14"/>
      <color rgb="FF000000"/>
      <name val="Calibri"/>
      <family val="4"/>
    </font>
    <font>
      <sz val="14"/>
      <color rgb="FFFF0000"/>
      <name val="華康魏碑體"/>
      <family val="4"/>
      <charset val="136"/>
    </font>
    <font>
      <sz val="14"/>
      <color rgb="FF000000"/>
      <name val="Cambria"/>
      <family val="1"/>
    </font>
    <font>
      <sz val="14"/>
      <color rgb="FF000000"/>
      <name val="Calibri"/>
      <family val="1"/>
      <charset val="136"/>
    </font>
    <font>
      <sz val="14"/>
      <name val="Calibri"/>
      <family val="4"/>
      <charset val="136"/>
    </font>
    <font>
      <vertAlign val="superscript"/>
      <sz val="14"/>
      <color rgb="FFFF0000"/>
      <name val="華康魏碑體"/>
      <family val="4"/>
      <charset val="136"/>
    </font>
    <font>
      <sz val="14"/>
      <name val="新細明體"/>
      <family val="1"/>
      <charset val="136"/>
    </font>
    <font>
      <sz val="14"/>
      <name val="細明體-ExtB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77" fontId="7" fillId="0" borderId="0" xfId="0" applyNumberFormat="1" applyFont="1" applyAlignment="1">
      <alignment vertical="center"/>
    </xf>
    <xf numFmtId="38" fontId="7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8" fontId="10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77" fontId="8" fillId="0" borderId="2" xfId="2" applyNumberFormat="1" applyFont="1" applyBorder="1" applyAlignment="1">
      <alignment horizontal="right" vertical="center"/>
    </xf>
    <xf numFmtId="38" fontId="8" fillId="0" borderId="2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177" fontId="8" fillId="0" borderId="0" xfId="2" applyNumberFormat="1" applyFont="1" applyBorder="1" applyAlignment="1">
      <alignment horizontal="right" vertical="center"/>
    </xf>
    <xf numFmtId="38" fontId="8" fillId="0" borderId="0" xfId="0" applyNumberFormat="1" applyFont="1" applyAlignment="1">
      <alignment horizontal="right" vertic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38" fontId="8" fillId="0" borderId="0" xfId="0" quotePrefix="1" applyNumberFormat="1" applyFont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177" fontId="12" fillId="0" borderId="6" xfId="2" applyNumberFormat="1" applyFont="1" applyBorder="1" applyAlignment="1">
      <alignment horizontal="right" vertical="center"/>
    </xf>
    <xf numFmtId="38" fontId="8" fillId="0" borderId="6" xfId="0" applyNumberFormat="1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38" fontId="8" fillId="0" borderId="7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right" vertical="center"/>
    </xf>
    <xf numFmtId="177" fontId="8" fillId="0" borderId="10" xfId="0" applyNumberFormat="1" applyFont="1" applyBorder="1" applyAlignment="1">
      <alignment horizontal="right" vertical="center"/>
    </xf>
    <xf numFmtId="38" fontId="8" fillId="0" borderId="10" xfId="0" applyNumberFormat="1" applyFont="1" applyBorder="1" applyAlignment="1">
      <alignment vertical="center"/>
    </xf>
    <xf numFmtId="0" fontId="8" fillId="0" borderId="7" xfId="0" applyFont="1" applyBorder="1" applyAlignment="1">
      <alignment vertical="center" wrapText="1"/>
    </xf>
    <xf numFmtId="177" fontId="8" fillId="0" borderId="7" xfId="0" applyNumberFormat="1" applyFont="1" applyBorder="1" applyAlignment="1">
      <alignment horizontal="right" vertical="center"/>
    </xf>
    <xf numFmtId="179" fontId="10" fillId="0" borderId="0" xfId="0" applyNumberFormat="1" applyFont="1" applyAlignment="1">
      <alignment horizontal="center" vertical="center"/>
    </xf>
    <xf numFmtId="179" fontId="8" fillId="0" borderId="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38" fontId="8" fillId="0" borderId="7" xfId="0" applyNumberFormat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2" borderId="10" xfId="0" applyFont="1" applyFill="1" applyBorder="1" applyAlignment="1">
      <alignment vertical="center" wrapText="1"/>
    </xf>
    <xf numFmtId="0" fontId="8" fillId="3" borderId="10" xfId="0" applyFont="1" applyFill="1" applyBorder="1" applyAlignment="1">
      <alignment vertical="center" wrapText="1"/>
    </xf>
    <xf numFmtId="177" fontId="8" fillId="0" borderId="7" xfId="0" applyNumberFormat="1" applyFont="1" applyBorder="1" applyAlignment="1">
      <alignment vertical="center"/>
    </xf>
    <xf numFmtId="179" fontId="8" fillId="0" borderId="7" xfId="0" applyNumberFormat="1" applyFont="1" applyBorder="1" applyAlignment="1">
      <alignment vertical="center"/>
    </xf>
    <xf numFmtId="3" fontId="8" fillId="0" borderId="7" xfId="0" applyNumberFormat="1" applyFont="1" applyBorder="1" applyAlignment="1" applyProtection="1">
      <alignment horizontal="right" vertical="center" wrapText="1"/>
      <protection locked="0"/>
    </xf>
    <xf numFmtId="179" fontId="8" fillId="0" borderId="7" xfId="1" applyNumberFormat="1" applyFont="1" applyBorder="1" applyAlignment="1">
      <alignment horizontal="right" vertical="center"/>
    </xf>
    <xf numFmtId="38" fontId="8" fillId="0" borderId="7" xfId="1" applyNumberFormat="1" applyFont="1" applyBorder="1" applyAlignment="1">
      <alignment horizontal="right" vertical="center"/>
    </xf>
    <xf numFmtId="0" fontId="13" fillId="2" borderId="7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3" fontId="8" fillId="0" borderId="7" xfId="0" applyNumberFormat="1" applyFont="1" applyBorder="1" applyAlignment="1" applyProtection="1">
      <alignment horizontal="left" vertical="center" wrapText="1"/>
      <protection locked="0"/>
    </xf>
    <xf numFmtId="179" fontId="8" fillId="0" borderId="7" xfId="1" applyNumberFormat="1" applyFont="1" applyBorder="1" applyAlignment="1">
      <alignment vertical="center"/>
    </xf>
    <xf numFmtId="38" fontId="8" fillId="0" borderId="7" xfId="1" applyNumberFormat="1" applyFont="1" applyBorder="1" applyAlignment="1">
      <alignment vertical="center"/>
    </xf>
    <xf numFmtId="3" fontId="14" fillId="0" borderId="7" xfId="0" applyNumberFormat="1" applyFont="1" applyBorder="1" applyAlignment="1" applyProtection="1">
      <alignment horizontal="right" vertical="center" wrapText="1"/>
      <protection locked="0"/>
    </xf>
    <xf numFmtId="38" fontId="11" fillId="0" borderId="7" xfId="1" applyNumberFormat="1" applyFont="1" applyBorder="1" applyAlignment="1">
      <alignment horizontal="right" vertical="center"/>
    </xf>
    <xf numFmtId="179" fontId="8" fillId="0" borderId="0" xfId="0" applyNumberFormat="1" applyFont="1" applyAlignment="1">
      <alignment vertical="center"/>
    </xf>
    <xf numFmtId="38" fontId="8" fillId="0" borderId="0" xfId="0" applyNumberFormat="1" applyFont="1" applyAlignment="1">
      <alignment vertical="center"/>
    </xf>
    <xf numFmtId="176" fontId="10" fillId="0" borderId="0" xfId="0" applyNumberFormat="1" applyFont="1" applyAlignment="1">
      <alignment horizontal="center" vertical="center"/>
    </xf>
    <xf numFmtId="176" fontId="12" fillId="0" borderId="6" xfId="2" applyNumberFormat="1" applyFont="1" applyBorder="1" applyAlignment="1">
      <alignment horizontal="right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176" fontId="8" fillId="0" borderId="10" xfId="0" applyNumberFormat="1" applyFont="1" applyBorder="1" applyAlignment="1">
      <alignment horizontal="right" vertical="center"/>
    </xf>
    <xf numFmtId="176" fontId="8" fillId="0" borderId="7" xfId="0" applyNumberFormat="1" applyFont="1" applyBorder="1" applyAlignment="1">
      <alignment vertical="center"/>
    </xf>
    <xf numFmtId="176" fontId="8" fillId="0" borderId="7" xfId="1" applyNumberFormat="1" applyFont="1" applyBorder="1" applyAlignment="1" applyProtection="1">
      <alignment horizontal="right" vertical="center"/>
      <protection locked="0"/>
    </xf>
    <xf numFmtId="176" fontId="8" fillId="0" borderId="7" xfId="1" applyNumberFormat="1" applyFont="1" applyBorder="1" applyAlignment="1">
      <alignment vertical="center"/>
    </xf>
    <xf numFmtId="176" fontId="8" fillId="0" borderId="0" xfId="0" applyNumberFormat="1" applyFont="1" applyAlignment="1">
      <alignment vertical="center"/>
    </xf>
    <xf numFmtId="180" fontId="8" fillId="0" borderId="7" xfId="0" applyNumberFormat="1" applyFont="1" applyBorder="1" applyAlignment="1">
      <alignment horizontal="center" vertical="center"/>
    </xf>
    <xf numFmtId="176" fontId="8" fillId="0" borderId="2" xfId="2" applyNumberFormat="1" applyFont="1" applyBorder="1" applyAlignment="1">
      <alignment horizontal="right" vertical="center"/>
    </xf>
    <xf numFmtId="176" fontId="8" fillId="0" borderId="0" xfId="2" applyNumberFormat="1" applyFont="1" applyBorder="1" applyAlignment="1">
      <alignment horizontal="right" vertical="center"/>
    </xf>
    <xf numFmtId="38" fontId="8" fillId="0" borderId="0" xfId="0" applyNumberFormat="1" applyFont="1" applyAlignment="1">
      <alignment horizontal="left" vertical="center"/>
    </xf>
    <xf numFmtId="38" fontId="8" fillId="0" borderId="4" xfId="0" applyNumberFormat="1" applyFont="1" applyBorder="1" applyAlignment="1">
      <alignment horizontal="left" vertical="center"/>
    </xf>
    <xf numFmtId="178" fontId="8" fillId="0" borderId="7" xfId="0" applyNumberFormat="1" applyFont="1" applyBorder="1" applyAlignment="1">
      <alignment horizontal="left" vertical="center"/>
    </xf>
    <xf numFmtId="43" fontId="8" fillId="0" borderId="7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43" fontId="8" fillId="0" borderId="7" xfId="0" applyNumberFormat="1" applyFont="1" applyBorder="1" applyAlignment="1">
      <alignment horizontal="left" vertical="center" wrapText="1"/>
    </xf>
    <xf numFmtId="0" fontId="27" fillId="2" borderId="7" xfId="0" applyFont="1" applyFill="1" applyBorder="1" applyAlignment="1">
      <alignment horizontal="left" vertical="center" wrapText="1"/>
    </xf>
    <xf numFmtId="0" fontId="27" fillId="2" borderId="7" xfId="0" applyFont="1" applyFill="1" applyBorder="1" applyAlignment="1">
      <alignment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vertical="center" wrapText="1"/>
    </xf>
    <xf numFmtId="3" fontId="11" fillId="0" borderId="7" xfId="0" applyNumberFormat="1" applyFont="1" applyBorder="1" applyAlignment="1" applyProtection="1">
      <alignment horizontal="right" vertical="center" wrapText="1"/>
      <protection locked="0"/>
    </xf>
    <xf numFmtId="176" fontId="8" fillId="0" borderId="6" xfId="0" applyNumberFormat="1" applyFont="1" applyBorder="1" applyAlignment="1">
      <alignment vertical="center"/>
    </xf>
    <xf numFmtId="179" fontId="8" fillId="0" borderId="6" xfId="0" applyNumberFormat="1" applyFont="1" applyBorder="1" applyAlignment="1">
      <alignment vertical="center"/>
    </xf>
    <xf numFmtId="38" fontId="8" fillId="0" borderId="6" xfId="0" applyNumberFormat="1" applyFont="1" applyBorder="1" applyAlignment="1">
      <alignment vertical="center"/>
    </xf>
    <xf numFmtId="0" fontId="8" fillId="0" borderId="9" xfId="0" applyFont="1" applyBorder="1" applyAlignment="1">
      <alignment vertical="center"/>
    </xf>
    <xf numFmtId="38" fontId="8" fillId="0" borderId="12" xfId="0" applyNumberFormat="1" applyFont="1" applyBorder="1" applyAlignment="1">
      <alignment horizontal="left" vertical="center"/>
    </xf>
    <xf numFmtId="38" fontId="8" fillId="0" borderId="9" xfId="0" applyNumberFormat="1" applyFont="1" applyBorder="1" applyAlignment="1">
      <alignment horizontal="left" vertical="center"/>
    </xf>
    <xf numFmtId="43" fontId="11" fillId="0" borderId="7" xfId="1" applyFont="1" applyBorder="1" applyAlignment="1">
      <alignment horizontal="right" vertical="center"/>
    </xf>
    <xf numFmtId="41" fontId="11" fillId="0" borderId="7" xfId="1" applyNumberFormat="1" applyFont="1" applyBorder="1" applyAlignment="1">
      <alignment horizontal="right" vertical="center"/>
    </xf>
    <xf numFmtId="0" fontId="8" fillId="0" borderId="7" xfId="0" quotePrefix="1" applyFont="1" applyBorder="1" applyAlignment="1">
      <alignment horizontal="center" vertical="center"/>
    </xf>
    <xf numFmtId="38" fontId="8" fillId="0" borderId="10" xfId="0" applyNumberFormat="1" applyFont="1" applyBorder="1" applyAlignment="1">
      <alignment horizontal="right" vertical="center"/>
    </xf>
    <xf numFmtId="38" fontId="8" fillId="0" borderId="7" xfId="0" applyNumberFormat="1" applyFont="1" applyBorder="1" applyAlignment="1">
      <alignment horizontal="right" vertical="center"/>
    </xf>
    <xf numFmtId="0" fontId="13" fillId="2" borderId="7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38" fontId="18" fillId="0" borderId="0" xfId="0" applyNumberFormat="1" applyFont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3" fontId="11" fillId="0" borderId="0" xfId="0" applyNumberFormat="1" applyFont="1" applyAlignment="1" applyProtection="1">
      <alignment horizontal="right" vertical="center" wrapText="1"/>
      <protection locked="0"/>
    </xf>
    <xf numFmtId="177" fontId="8" fillId="0" borderId="0" xfId="1" applyNumberFormat="1" applyFont="1" applyBorder="1" applyAlignment="1">
      <alignment vertical="center"/>
    </xf>
    <xf numFmtId="38" fontId="11" fillId="0" borderId="0" xfId="1" applyNumberFormat="1" applyFont="1" applyBorder="1" applyAlignment="1">
      <alignment horizontal="right" vertical="center"/>
    </xf>
    <xf numFmtId="43" fontId="8" fillId="0" borderId="4" xfId="0" applyNumberFormat="1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38" fontId="8" fillId="0" borderId="7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8" fontId="8" fillId="0" borderId="0" xfId="1" applyNumberFormat="1" applyFont="1" applyBorder="1" applyAlignment="1">
      <alignment horizontal="right" vertical="center"/>
    </xf>
    <xf numFmtId="38" fontId="8" fillId="0" borderId="2" xfId="0" applyNumberFormat="1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176" fontId="12" fillId="0" borderId="0" xfId="2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0" fontId="7" fillId="0" borderId="0" xfId="0" applyFont="1"/>
    <xf numFmtId="177" fontId="18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right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41" fontId="7" fillId="0" borderId="10" xfId="0" applyNumberFormat="1" applyFont="1" applyBorder="1" applyAlignment="1">
      <alignment horizontal="right" vertical="center"/>
    </xf>
    <xf numFmtId="0" fontId="7" fillId="0" borderId="0" xfId="0" applyFont="1" applyAlignment="1">
      <alignment wrapText="1"/>
    </xf>
    <xf numFmtId="3" fontId="9" fillId="0" borderId="7" xfId="0" applyNumberFormat="1" applyFont="1" applyBorder="1" applyAlignment="1" applyProtection="1">
      <alignment horizontal="right" vertical="center" wrapText="1"/>
      <protection locked="0"/>
    </xf>
    <xf numFmtId="0" fontId="9" fillId="0" borderId="7" xfId="0" applyFont="1" applyBorder="1" applyAlignment="1">
      <alignment horizontal="center" vertical="center"/>
    </xf>
    <xf numFmtId="177" fontId="9" fillId="0" borderId="7" xfId="1" applyNumberFormat="1" applyFont="1" applyBorder="1" applyAlignment="1">
      <alignment vertical="center"/>
    </xf>
    <xf numFmtId="43" fontId="9" fillId="0" borderId="7" xfId="1" applyFont="1" applyBorder="1" applyAlignment="1">
      <alignment horizontal="right" vertical="center"/>
    </xf>
    <xf numFmtId="41" fontId="9" fillId="0" borderId="7" xfId="1" applyNumberFormat="1" applyFont="1" applyBorder="1" applyAlignment="1">
      <alignment horizontal="right" vertical="center"/>
    </xf>
    <xf numFmtId="43" fontId="22" fillId="0" borderId="7" xfId="0" applyNumberFormat="1" applyFont="1" applyBorder="1" applyAlignment="1">
      <alignment horizontal="left" vertical="center" wrapText="1"/>
    </xf>
    <xf numFmtId="0" fontId="8" fillId="0" borderId="0" xfId="0" applyFont="1"/>
    <xf numFmtId="41" fontId="9" fillId="0" borderId="13" xfId="1" applyNumberFormat="1" applyFont="1" applyBorder="1" applyAlignment="1">
      <alignment horizontal="right" vertical="center"/>
    </xf>
    <xf numFmtId="177" fontId="7" fillId="0" borderId="0" xfId="0" applyNumberFormat="1" applyFont="1"/>
    <xf numFmtId="41" fontId="7" fillId="0" borderId="0" xfId="0" applyNumberFormat="1" applyFont="1" applyAlignment="1">
      <alignment vertical="center"/>
    </xf>
    <xf numFmtId="0" fontId="8" fillId="0" borderId="6" xfId="0" applyFont="1" applyBorder="1" applyAlignment="1">
      <alignment horizontal="right" vertical="center"/>
    </xf>
    <xf numFmtId="0" fontId="23" fillId="0" borderId="9" xfId="3" applyFont="1" applyBorder="1" applyAlignment="1" applyProtection="1">
      <alignment horizontal="left" vertic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3" borderId="0" xfId="0" applyFont="1" applyFill="1" applyAlignment="1">
      <alignment vertical="center"/>
    </xf>
    <xf numFmtId="0" fontId="31" fillId="0" borderId="0" xfId="0" applyFont="1"/>
    <xf numFmtId="38" fontId="8" fillId="3" borderId="7" xfId="0" applyNumberFormat="1" applyFont="1" applyFill="1" applyBorder="1" applyAlignment="1">
      <alignment horizontal="right" vertical="center"/>
    </xf>
    <xf numFmtId="38" fontId="8" fillId="3" borderId="7" xfId="0" applyNumberFormat="1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177" fontId="32" fillId="0" borderId="7" xfId="0" applyNumberFormat="1" applyFont="1" applyBorder="1" applyAlignment="1">
      <alignment horizontal="right" vertical="center"/>
    </xf>
    <xf numFmtId="179" fontId="32" fillId="0" borderId="7" xfId="0" applyNumberFormat="1" applyFont="1" applyBorder="1" applyAlignment="1">
      <alignment horizontal="right" vertical="center"/>
    </xf>
    <xf numFmtId="38" fontId="8" fillId="0" borderId="0" xfId="0" quotePrefix="1" applyNumberFormat="1" applyFont="1" applyAlignment="1">
      <alignment vertical="center"/>
    </xf>
    <xf numFmtId="38" fontId="33" fillId="0" borderId="0" xfId="3" applyNumberFormat="1" applyFont="1" applyBorder="1" applyAlignment="1" applyProtection="1">
      <alignment vertical="center"/>
    </xf>
    <xf numFmtId="0" fontId="8" fillId="0" borderId="5" xfId="0" applyFont="1" applyBorder="1" applyAlignment="1">
      <alignment horizontal="left" vertical="center"/>
    </xf>
    <xf numFmtId="38" fontId="11" fillId="0" borderId="7" xfId="1" applyNumberFormat="1" applyFont="1" applyBorder="1" applyAlignment="1">
      <alignment vertical="center"/>
    </xf>
    <xf numFmtId="38" fontId="11" fillId="0" borderId="7" xfId="0" applyNumberFormat="1" applyFont="1" applyBorder="1" applyAlignment="1">
      <alignment vertical="center"/>
    </xf>
    <xf numFmtId="0" fontId="31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3" fontId="8" fillId="0" borderId="0" xfId="0" applyNumberFormat="1" applyFont="1" applyAlignment="1">
      <alignment horizontal="left" vertical="center" wrapText="1"/>
    </xf>
    <xf numFmtId="0" fontId="31" fillId="0" borderId="7" xfId="0" applyFont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1" fillId="0" borderId="7" xfId="0" applyFont="1" applyBorder="1" applyAlignment="1">
      <alignment vertical="center"/>
    </xf>
    <xf numFmtId="0" fontId="31" fillId="4" borderId="7" xfId="0" applyFont="1" applyFill="1" applyBorder="1" applyAlignment="1">
      <alignment horizontal="center" vertical="center" wrapText="1"/>
    </xf>
    <xf numFmtId="6" fontId="31" fillId="0" borderId="7" xfId="0" applyNumberFormat="1" applyFont="1" applyBorder="1" applyAlignment="1">
      <alignment horizontal="center" vertical="center"/>
    </xf>
    <xf numFmtId="178" fontId="31" fillId="0" borderId="7" xfId="0" applyNumberFormat="1" applyFont="1" applyBorder="1" applyAlignment="1">
      <alignment horizontal="center" vertical="center"/>
    </xf>
    <xf numFmtId="0" fontId="31" fillId="3" borderId="7" xfId="0" applyFont="1" applyFill="1" applyBorder="1" applyAlignment="1">
      <alignment vertical="center"/>
    </xf>
    <xf numFmtId="0" fontId="31" fillId="3" borderId="7" xfId="0" applyFont="1" applyFill="1" applyBorder="1" applyAlignment="1">
      <alignment horizontal="center" vertical="center"/>
    </xf>
    <xf numFmtId="43" fontId="8" fillId="3" borderId="7" xfId="0" applyNumberFormat="1" applyFont="1" applyFill="1" applyBorder="1" applyAlignment="1">
      <alignment horizontal="center" vertical="center"/>
    </xf>
    <xf numFmtId="0" fontId="8" fillId="0" borderId="7" xfId="0" applyFont="1" applyBorder="1"/>
    <xf numFmtId="0" fontId="31" fillId="0" borderId="7" xfId="0" applyFont="1" applyBorder="1"/>
    <xf numFmtId="0" fontId="31" fillId="0" borderId="7" xfId="0" applyFont="1" applyBorder="1" applyAlignment="1">
      <alignment horizontal="center"/>
    </xf>
    <xf numFmtId="43" fontId="31" fillId="0" borderId="7" xfId="0" applyNumberFormat="1" applyFont="1" applyBorder="1" applyAlignment="1">
      <alignment horizontal="center" vertical="center"/>
    </xf>
    <xf numFmtId="178" fontId="8" fillId="0" borderId="0" xfId="0" applyNumberFormat="1" applyFont="1" applyAlignment="1">
      <alignment horizontal="left" vertical="center"/>
    </xf>
    <xf numFmtId="43" fontId="8" fillId="0" borderId="0" xfId="0" applyNumberFormat="1" applyFont="1" applyAlignment="1">
      <alignment horizontal="left" vertical="center"/>
    </xf>
    <xf numFmtId="177" fontId="8" fillId="0" borderId="0" xfId="0" applyNumberFormat="1" applyFont="1" applyAlignment="1">
      <alignment horizontal="right" vertical="center"/>
    </xf>
    <xf numFmtId="0" fontId="8" fillId="0" borderId="0" xfId="0" quotePrefix="1" applyFont="1" applyAlignment="1">
      <alignment horizontal="center" vertical="center"/>
    </xf>
    <xf numFmtId="9" fontId="31" fillId="0" borderId="7" xfId="0" applyNumberFormat="1" applyFont="1" applyBorder="1" applyAlignment="1">
      <alignment horizontal="center" vertical="center"/>
    </xf>
    <xf numFmtId="178" fontId="31" fillId="0" borderId="7" xfId="0" applyNumberFormat="1" applyFont="1" applyBorder="1" applyAlignment="1">
      <alignment vertical="center"/>
    </xf>
    <xf numFmtId="179" fontId="37" fillId="5" borderId="7" xfId="0" applyNumberFormat="1" applyFont="1" applyFill="1" applyBorder="1" applyAlignment="1">
      <alignment horizontal="center" vertical="center"/>
    </xf>
    <xf numFmtId="179" fontId="38" fillId="5" borderId="0" xfId="0" applyNumberFormat="1" applyFont="1" applyFill="1" applyAlignment="1">
      <alignment horizontal="center" vertical="center"/>
    </xf>
    <xf numFmtId="179" fontId="37" fillId="5" borderId="7" xfId="0" applyNumberFormat="1" applyFont="1" applyFill="1" applyBorder="1" applyAlignment="1">
      <alignment horizontal="center"/>
    </xf>
    <xf numFmtId="179" fontId="38" fillId="5" borderId="7" xfId="0" applyNumberFormat="1" applyFont="1" applyFill="1" applyBorder="1" applyAlignment="1">
      <alignment horizontal="center" vertical="center"/>
    </xf>
    <xf numFmtId="0" fontId="37" fillId="5" borderId="7" xfId="0" applyFont="1" applyFill="1" applyBorder="1" applyAlignment="1">
      <alignment horizontal="center" vertical="center"/>
    </xf>
    <xf numFmtId="178" fontId="37" fillId="5" borderId="7" xfId="0" applyNumberFormat="1" applyFont="1" applyFill="1" applyBorder="1" applyAlignment="1">
      <alignment horizontal="center" vertical="center"/>
    </xf>
    <xf numFmtId="0" fontId="39" fillId="6" borderId="7" xfId="0" applyFont="1" applyFill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181" fontId="31" fillId="0" borderId="7" xfId="1" applyNumberFormat="1" applyFont="1" applyFill="1" applyBorder="1" applyAlignment="1">
      <alignment vertical="center"/>
    </xf>
    <xf numFmtId="179" fontId="37" fillId="0" borderId="7" xfId="0" applyNumberFormat="1" applyFont="1" applyBorder="1" applyAlignment="1">
      <alignment horizontal="center" vertical="center"/>
    </xf>
    <xf numFmtId="179" fontId="8" fillId="0" borderId="7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182" fontId="8" fillId="0" borderId="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right" vertical="center"/>
    </xf>
    <xf numFmtId="179" fontId="8" fillId="0" borderId="0" xfId="0" applyNumberFormat="1" applyFont="1" applyAlignment="1">
      <alignment horizontal="right" vertical="center"/>
    </xf>
    <xf numFmtId="179" fontId="8" fillId="0" borderId="0" xfId="0" quotePrefix="1" applyNumberFormat="1" applyFont="1" applyAlignment="1">
      <alignment horizontal="right" vertical="center"/>
    </xf>
    <xf numFmtId="183" fontId="10" fillId="0" borderId="0" xfId="0" applyNumberFormat="1" applyFont="1" applyAlignment="1">
      <alignment horizontal="center" vertical="center"/>
    </xf>
    <xf numFmtId="183" fontId="8" fillId="0" borderId="2" xfId="2" applyNumberFormat="1" applyFont="1" applyBorder="1" applyAlignment="1">
      <alignment horizontal="right" vertical="center"/>
    </xf>
    <xf numFmtId="183" fontId="8" fillId="0" borderId="0" xfId="2" applyNumberFormat="1" applyFont="1" applyBorder="1" applyAlignment="1">
      <alignment horizontal="right" vertical="center"/>
    </xf>
    <xf numFmtId="183" fontId="8" fillId="0" borderId="7" xfId="0" applyNumberFormat="1" applyFont="1" applyBorder="1" applyAlignment="1">
      <alignment horizontal="center" vertical="center" wrapText="1"/>
    </xf>
    <xf numFmtId="183" fontId="8" fillId="0" borderId="7" xfId="0" applyNumberFormat="1" applyFont="1" applyBorder="1" applyAlignment="1">
      <alignment horizontal="right" vertical="center"/>
    </xf>
    <xf numFmtId="183" fontId="8" fillId="3" borderId="7" xfId="0" applyNumberFormat="1" applyFont="1" applyFill="1" applyBorder="1" applyAlignment="1">
      <alignment horizontal="right" vertical="center"/>
    </xf>
    <xf numFmtId="183" fontId="8" fillId="0" borderId="0" xfId="0" applyNumberFormat="1" applyFont="1" applyAlignment="1">
      <alignment vertical="center"/>
    </xf>
    <xf numFmtId="184" fontId="8" fillId="0" borderId="0" xfId="0" applyNumberFormat="1" applyFont="1" applyAlignment="1">
      <alignment vertical="center"/>
    </xf>
    <xf numFmtId="185" fontId="8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/>
    </xf>
    <xf numFmtId="179" fontId="38" fillId="5" borderId="0" xfId="0" applyNumberFormat="1" applyFont="1" applyFill="1" applyAlignment="1">
      <alignment horizontal="right" vertical="center"/>
    </xf>
    <xf numFmtId="179" fontId="37" fillId="5" borderId="7" xfId="0" applyNumberFormat="1" applyFont="1" applyFill="1" applyBorder="1" applyAlignment="1">
      <alignment horizontal="right" vertical="center"/>
    </xf>
    <xf numFmtId="179" fontId="37" fillId="0" borderId="7" xfId="0" applyNumberFormat="1" applyFont="1" applyBorder="1" applyAlignment="1">
      <alignment horizontal="right" vertical="center"/>
    </xf>
    <xf numFmtId="179" fontId="37" fillId="5" borderId="7" xfId="1" applyNumberFormat="1" applyFont="1" applyFill="1" applyBorder="1" applyAlignment="1">
      <alignment horizontal="right" vertical="center"/>
    </xf>
    <xf numFmtId="179" fontId="37" fillId="5" borderId="7" xfId="0" applyNumberFormat="1" applyFont="1" applyFill="1" applyBorder="1" applyAlignment="1">
      <alignment horizontal="right"/>
    </xf>
    <xf numFmtId="179" fontId="38" fillId="5" borderId="7" xfId="0" applyNumberFormat="1" applyFont="1" applyFill="1" applyBorder="1" applyAlignment="1">
      <alignment horizontal="right" vertical="center"/>
    </xf>
    <xf numFmtId="43" fontId="8" fillId="0" borderId="7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38" fontId="8" fillId="0" borderId="2" xfId="0" applyNumberFormat="1" applyFont="1" applyBorder="1" applyAlignment="1">
      <alignment horizontal="left" vertical="center"/>
    </xf>
    <xf numFmtId="38" fontId="8" fillId="0" borderId="12" xfId="0" applyNumberFormat="1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3" borderId="11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3" fontId="11" fillId="0" borderId="11" xfId="0" applyNumberFormat="1" applyFont="1" applyBorder="1" applyAlignment="1" applyProtection="1">
      <alignment horizontal="right" vertical="center" wrapText="1"/>
      <protection locked="0"/>
    </xf>
    <xf numFmtId="3" fontId="11" fillId="0" borderId="8" xfId="0" applyNumberFormat="1" applyFont="1" applyBorder="1" applyAlignment="1" applyProtection="1">
      <alignment horizontal="right" vertical="center" wrapText="1"/>
      <protection locked="0"/>
    </xf>
    <xf numFmtId="0" fontId="32" fillId="0" borderId="11" xfId="0" applyFont="1" applyBorder="1" applyAlignment="1">
      <alignment horizontal="left" vertical="center" wrapText="1"/>
    </xf>
    <xf numFmtId="0" fontId="32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38" fontId="8" fillId="0" borderId="6" xfId="0" applyNumberFormat="1" applyFont="1" applyBorder="1" applyAlignment="1">
      <alignment horizontal="left" vertical="center"/>
    </xf>
    <xf numFmtId="38" fontId="8" fillId="0" borderId="9" xfId="0" applyNumberFormat="1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/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</cellXfs>
  <cellStyles count="4">
    <cellStyle name="一般" xfId="0" builtinId="0"/>
    <cellStyle name="千分位" xfId="1" builtinId="3"/>
    <cellStyle name="千分位[0]" xfId="2" builtinId="6"/>
    <cellStyle name="超連結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077FF418-AB44-41CA-AE49-14B30829E4A6}"/>
            </a:ext>
          </a:extLst>
        </xdr:cNvPr>
        <xdr:cNvGrpSpPr/>
      </xdr:nvGrpSpPr>
      <xdr:grpSpPr>
        <a:xfrm>
          <a:off x="22860" y="641872"/>
          <a:ext cx="4971319" cy="1552986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A8048DB5-3C56-B181-F8B9-8592309C5B35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4" name="圖片 3">
            <a:extLst>
              <a:ext uri="{FF2B5EF4-FFF2-40B4-BE49-F238E27FC236}">
                <a16:creationId xmlns:a16="http://schemas.microsoft.com/office/drawing/2014/main" id="{F64EC587-6184-7E59-4B2B-D1687D0A85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190500</xdr:colOff>
      <xdr:row>0</xdr:row>
      <xdr:rowOff>45720</xdr:rowOff>
    </xdr:from>
    <xdr:to>
      <xdr:col>7</xdr:col>
      <xdr:colOff>1631810</xdr:colOff>
      <xdr:row>1</xdr:row>
      <xdr:rowOff>209475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1199159-74A0-4408-AAF7-5191024870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7292340" y="45720"/>
          <a:ext cx="2470010" cy="537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0480DA7D-2F25-4EEC-AEE8-C6FB3054E9CB}"/>
            </a:ext>
          </a:extLst>
        </xdr:cNvPr>
        <xdr:cNvGrpSpPr/>
      </xdr:nvGrpSpPr>
      <xdr:grpSpPr>
        <a:xfrm>
          <a:off x="22860" y="635764"/>
          <a:ext cx="4975062" cy="1508162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43B8716B-478D-D15B-ABE2-853129856913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6" name="圖片 5">
            <a:extLst>
              <a:ext uri="{FF2B5EF4-FFF2-40B4-BE49-F238E27FC236}">
                <a16:creationId xmlns:a16="http://schemas.microsoft.com/office/drawing/2014/main" id="{EAEADAE3-5044-DACC-3714-EDD37CEAB0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190500</xdr:colOff>
      <xdr:row>0</xdr:row>
      <xdr:rowOff>45720</xdr:rowOff>
    </xdr:from>
    <xdr:to>
      <xdr:col>7</xdr:col>
      <xdr:colOff>1631810</xdr:colOff>
      <xdr:row>1</xdr:row>
      <xdr:rowOff>209475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11C4AE9-83D8-41F4-B43D-3970AAB7A0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7292340" y="45720"/>
          <a:ext cx="2470010" cy="5371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5A31B9A3-EFB7-D449-9327-538F6DA2B602}"/>
            </a:ext>
          </a:extLst>
        </xdr:cNvPr>
        <xdr:cNvGrpSpPr/>
      </xdr:nvGrpSpPr>
      <xdr:grpSpPr>
        <a:xfrm>
          <a:off x="22860" y="641872"/>
          <a:ext cx="4971319" cy="1552986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706C9A9D-9D14-91FE-64FA-83117ACDF800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4" name="圖片 3">
            <a:extLst>
              <a:ext uri="{FF2B5EF4-FFF2-40B4-BE49-F238E27FC236}">
                <a16:creationId xmlns:a16="http://schemas.microsoft.com/office/drawing/2014/main" id="{A0A7162D-B831-4487-A4B6-4568C3087D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190500</xdr:colOff>
      <xdr:row>0</xdr:row>
      <xdr:rowOff>45720</xdr:rowOff>
    </xdr:from>
    <xdr:to>
      <xdr:col>7</xdr:col>
      <xdr:colOff>1631810</xdr:colOff>
      <xdr:row>1</xdr:row>
      <xdr:rowOff>209475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BBEAD32-269C-4AA1-B99C-B6744489B0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7292340" y="45720"/>
          <a:ext cx="2470010" cy="5371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908279C1-62E5-6D4B-A047-964013FDFC1F}"/>
            </a:ext>
          </a:extLst>
        </xdr:cNvPr>
        <xdr:cNvGrpSpPr/>
      </xdr:nvGrpSpPr>
      <xdr:grpSpPr>
        <a:xfrm>
          <a:off x="22860" y="637897"/>
          <a:ext cx="4975378" cy="1544106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858DA5F3-8BAE-3F69-AF15-0806102929C2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4" name="圖片 3">
            <a:extLst>
              <a:ext uri="{FF2B5EF4-FFF2-40B4-BE49-F238E27FC236}">
                <a16:creationId xmlns:a16="http://schemas.microsoft.com/office/drawing/2014/main" id="{0467AE72-2D55-9879-49F5-91C1352699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190500</xdr:colOff>
      <xdr:row>0</xdr:row>
      <xdr:rowOff>45720</xdr:rowOff>
    </xdr:from>
    <xdr:to>
      <xdr:col>7</xdr:col>
      <xdr:colOff>1631810</xdr:colOff>
      <xdr:row>1</xdr:row>
      <xdr:rowOff>209475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E8A2C71D-5E0C-4771-B265-CD8AFF10C4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7292340" y="45720"/>
          <a:ext cx="2470010" cy="5371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ADF8D5C3-FFD7-DB44-A95D-DE378D008098}"/>
            </a:ext>
          </a:extLst>
        </xdr:cNvPr>
        <xdr:cNvGrpSpPr/>
      </xdr:nvGrpSpPr>
      <xdr:grpSpPr>
        <a:xfrm>
          <a:off x="22860" y="641872"/>
          <a:ext cx="4971319" cy="1552986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6AD535ED-E9E0-6058-C8E9-65F55D7472C7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4" name="圖片 3">
            <a:extLst>
              <a:ext uri="{FF2B5EF4-FFF2-40B4-BE49-F238E27FC236}">
                <a16:creationId xmlns:a16="http://schemas.microsoft.com/office/drawing/2014/main" id="{F8349E49-076D-ECD2-5AE9-63362FDF3C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190500</xdr:colOff>
      <xdr:row>0</xdr:row>
      <xdr:rowOff>45720</xdr:rowOff>
    </xdr:from>
    <xdr:to>
      <xdr:col>7</xdr:col>
      <xdr:colOff>1631810</xdr:colOff>
      <xdr:row>1</xdr:row>
      <xdr:rowOff>209475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C51B3726-E77A-432F-836D-B26EF3C7A4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7292340" y="45720"/>
          <a:ext cx="2470010" cy="5371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6BDD6F36-6BED-7746-90D8-9A61A055DFB2}"/>
            </a:ext>
          </a:extLst>
        </xdr:cNvPr>
        <xdr:cNvGrpSpPr/>
      </xdr:nvGrpSpPr>
      <xdr:grpSpPr>
        <a:xfrm>
          <a:off x="22860" y="636982"/>
          <a:ext cx="5300568" cy="1535872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090F3D21-B4DE-5851-B8E1-09ABE111C7A7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4" name="圖片 3">
            <a:extLst>
              <a:ext uri="{FF2B5EF4-FFF2-40B4-BE49-F238E27FC236}">
                <a16:creationId xmlns:a16="http://schemas.microsoft.com/office/drawing/2014/main" id="{F938B0A5-65FF-90D8-F564-3B56923828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190500</xdr:colOff>
      <xdr:row>0</xdr:row>
      <xdr:rowOff>45720</xdr:rowOff>
    </xdr:from>
    <xdr:to>
      <xdr:col>7</xdr:col>
      <xdr:colOff>1631810</xdr:colOff>
      <xdr:row>1</xdr:row>
      <xdr:rowOff>209475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EA364D6-B9F1-0242-AB34-65BF12930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8102600" y="45720"/>
          <a:ext cx="2584310" cy="5447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ADD12E60-D689-F745-B8AD-D5AA5F314DF1}"/>
            </a:ext>
          </a:extLst>
        </xdr:cNvPr>
        <xdr:cNvGrpSpPr/>
      </xdr:nvGrpSpPr>
      <xdr:grpSpPr>
        <a:xfrm>
          <a:off x="22860" y="635597"/>
          <a:ext cx="4979835" cy="1531022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2C3F9A0A-F3FC-D1F0-4FD7-3A4551DBAFC7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4" name="圖片 3">
            <a:extLst>
              <a:ext uri="{FF2B5EF4-FFF2-40B4-BE49-F238E27FC236}">
                <a16:creationId xmlns:a16="http://schemas.microsoft.com/office/drawing/2014/main" id="{B7FA680B-AB9D-C8BD-8878-0EE6BBBFA9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190500</xdr:colOff>
      <xdr:row>0</xdr:row>
      <xdr:rowOff>45720</xdr:rowOff>
    </xdr:from>
    <xdr:to>
      <xdr:col>7</xdr:col>
      <xdr:colOff>1631810</xdr:colOff>
      <xdr:row>1</xdr:row>
      <xdr:rowOff>209475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F3EC2372-8E67-4D77-A383-1B838906F9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7292340" y="45720"/>
          <a:ext cx="2470010" cy="5371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B070A76A-DCBA-EB4B-A724-842D50BADD54}"/>
            </a:ext>
          </a:extLst>
        </xdr:cNvPr>
        <xdr:cNvGrpSpPr/>
      </xdr:nvGrpSpPr>
      <xdr:grpSpPr>
        <a:xfrm>
          <a:off x="22860" y="635597"/>
          <a:ext cx="4979835" cy="1531022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A505A944-FDE1-CDB6-7D01-C61C60C1ACFD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4" name="圖片 3">
            <a:extLst>
              <a:ext uri="{FF2B5EF4-FFF2-40B4-BE49-F238E27FC236}">
                <a16:creationId xmlns:a16="http://schemas.microsoft.com/office/drawing/2014/main" id="{E2D7BED0-D845-D175-29EE-2F2FDDD501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190500</xdr:colOff>
      <xdr:row>0</xdr:row>
      <xdr:rowOff>45720</xdr:rowOff>
    </xdr:from>
    <xdr:to>
      <xdr:col>7</xdr:col>
      <xdr:colOff>1631810</xdr:colOff>
      <xdr:row>1</xdr:row>
      <xdr:rowOff>209475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4CB185A7-6788-4CD5-A6FB-569867644B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7292340" y="45720"/>
          <a:ext cx="2470010" cy="5371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F3FA612F-FBD3-2D4A-A417-CF0F6709456C}"/>
            </a:ext>
          </a:extLst>
        </xdr:cNvPr>
        <xdr:cNvGrpSpPr/>
      </xdr:nvGrpSpPr>
      <xdr:grpSpPr>
        <a:xfrm>
          <a:off x="22860" y="633003"/>
          <a:ext cx="4984861" cy="1516268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B039BE24-E626-6368-36C0-58123E9D42E8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4" name="圖片 3">
            <a:extLst>
              <a:ext uri="{FF2B5EF4-FFF2-40B4-BE49-F238E27FC236}">
                <a16:creationId xmlns:a16="http://schemas.microsoft.com/office/drawing/2014/main" id="{8C79497C-21FC-D83E-9778-7FE062A0B5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190500</xdr:colOff>
      <xdr:row>0</xdr:row>
      <xdr:rowOff>45720</xdr:rowOff>
    </xdr:from>
    <xdr:to>
      <xdr:col>7</xdr:col>
      <xdr:colOff>1631810</xdr:colOff>
      <xdr:row>1</xdr:row>
      <xdr:rowOff>209475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8210B37-CCA0-0D45-AD4D-4B530B38A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8128000" y="45720"/>
          <a:ext cx="2584310" cy="544755"/>
        </a:xfrm>
        <a:prstGeom prst="rect">
          <a:avLst/>
        </a:prstGeom>
      </xdr:spPr>
    </xdr:pic>
    <xdr:clientData/>
  </xdr:twoCellAnchor>
  <xdr:twoCellAnchor editAs="oneCell">
    <xdr:from>
      <xdr:col>5</xdr:col>
      <xdr:colOff>594028</xdr:colOff>
      <xdr:row>4</xdr:row>
      <xdr:rowOff>81876</xdr:rowOff>
    </xdr:from>
    <xdr:to>
      <xdr:col>5</xdr:col>
      <xdr:colOff>1019778</xdr:colOff>
      <xdr:row>6</xdr:row>
      <xdr:rowOff>37157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F2C3C9D1-E8DE-F444-2026-A1AE03272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6604" b="93868" l="5708" r="90868">
                      <a14:foregroundMark x1="63470" y1="9670" x2="63470" y2="9670"/>
                      <a14:foregroundMark x1="48402" y1="6604" x2="48402" y2="6604"/>
                      <a14:foregroundMark x1="44977" y1="24057" x2="44977" y2="24057"/>
                      <a14:foregroundMark x1="45434" y1="24764" x2="45434" y2="24764"/>
                      <a14:foregroundMark x1="38584" y1="29717" x2="38584" y2="29717"/>
                      <a14:foregroundMark x1="39041" y1="30896" x2="39041" y2="30896"/>
                      <a14:foregroundMark x1="39954" y1="32311" x2="39954" y2="32311"/>
                      <a14:foregroundMark x1="5708" y1="47406" x2="5708" y2="47406"/>
                      <a14:foregroundMark x1="48858" y1="93868" x2="48858" y2="93868"/>
                      <a14:foregroundMark x1="90411" y1="42689" x2="90411" y2="42689"/>
                      <a14:foregroundMark x1="90868" y1="55660" x2="90868" y2="55660"/>
                      <a14:backgroundMark x1="88356" y1="47877" x2="88356" y2="47877"/>
                      <a14:backgroundMark x1="87900" y1="49057" x2="87900" y2="4905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88304" y="1149933"/>
          <a:ext cx="425750" cy="41301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68F5B8A2-C903-DC42-AE8C-EAA1D239A90F}"/>
            </a:ext>
          </a:extLst>
        </xdr:cNvPr>
        <xdr:cNvGrpSpPr/>
      </xdr:nvGrpSpPr>
      <xdr:grpSpPr>
        <a:xfrm>
          <a:off x="22860" y="629066"/>
          <a:ext cx="4980924" cy="1508162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B3DCC977-395B-C4C5-4BF7-B939AA656A67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4" name="圖片 3">
            <a:extLst>
              <a:ext uri="{FF2B5EF4-FFF2-40B4-BE49-F238E27FC236}">
                <a16:creationId xmlns:a16="http://schemas.microsoft.com/office/drawing/2014/main" id="{4758B139-B17D-A7B7-A6AE-A0C2541455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190500</xdr:colOff>
      <xdr:row>0</xdr:row>
      <xdr:rowOff>45720</xdr:rowOff>
    </xdr:from>
    <xdr:to>
      <xdr:col>7</xdr:col>
      <xdr:colOff>1631810</xdr:colOff>
      <xdr:row>1</xdr:row>
      <xdr:rowOff>209475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8C1C9825-97E0-4365-83AF-51A6812506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7292340" y="45720"/>
          <a:ext cx="2470010" cy="5371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BE90D11A-9157-3345-958F-7464E3AB5B02}"/>
            </a:ext>
          </a:extLst>
        </xdr:cNvPr>
        <xdr:cNvGrpSpPr/>
      </xdr:nvGrpSpPr>
      <xdr:grpSpPr>
        <a:xfrm>
          <a:off x="22860" y="635764"/>
          <a:ext cx="4975062" cy="1508162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8FC7DF33-F642-D475-653B-8033E9F8C337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4" name="圖片 3">
            <a:extLst>
              <a:ext uri="{FF2B5EF4-FFF2-40B4-BE49-F238E27FC236}">
                <a16:creationId xmlns:a16="http://schemas.microsoft.com/office/drawing/2014/main" id="{4DABB917-C512-0D38-1184-0B0493F094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190500</xdr:colOff>
      <xdr:row>0</xdr:row>
      <xdr:rowOff>45720</xdr:rowOff>
    </xdr:from>
    <xdr:to>
      <xdr:col>7</xdr:col>
      <xdr:colOff>1631810</xdr:colOff>
      <xdr:row>1</xdr:row>
      <xdr:rowOff>209475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88F9FD76-7D86-754B-B9DA-0AB9C0109B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8064500" y="45720"/>
          <a:ext cx="2584310" cy="5447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41237</xdr:rowOff>
    </xdr:from>
    <xdr:to>
      <xdr:col>3</xdr:col>
      <xdr:colOff>224955</xdr:colOff>
      <xdr:row>9</xdr:row>
      <xdr:rowOff>25399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9D85FECF-6771-8C4B-9A68-B0561FC34804}"/>
            </a:ext>
          </a:extLst>
        </xdr:cNvPr>
        <xdr:cNvGrpSpPr/>
      </xdr:nvGrpSpPr>
      <xdr:grpSpPr>
        <a:xfrm>
          <a:off x="22860" y="629066"/>
          <a:ext cx="4980924" cy="1508162"/>
          <a:chOff x="22860" y="624839"/>
          <a:chExt cx="4713135" cy="131369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45DE712E-A1E3-DEBD-1727-2F64874D0541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4" name="圖片 3">
            <a:extLst>
              <a:ext uri="{FF2B5EF4-FFF2-40B4-BE49-F238E27FC236}">
                <a16:creationId xmlns:a16="http://schemas.microsoft.com/office/drawing/2014/main" id="{804C2B9A-20D9-1411-93BA-73C7C2765A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" y="672784"/>
            <a:ext cx="1070678" cy="94984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188258</xdr:colOff>
      <xdr:row>0</xdr:row>
      <xdr:rowOff>46169</xdr:rowOff>
    </xdr:from>
    <xdr:to>
      <xdr:col>7</xdr:col>
      <xdr:colOff>1627327</xdr:colOff>
      <xdr:row>1</xdr:row>
      <xdr:rowOff>206786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A7C125CE-20C4-4926-9FE6-593971F6A7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7290098" y="46169"/>
          <a:ext cx="2467769" cy="5339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77690</xdr:colOff>
      <xdr:row>0</xdr:row>
      <xdr:rowOff>45570</xdr:rowOff>
    </xdr:from>
    <xdr:to>
      <xdr:col>7</xdr:col>
      <xdr:colOff>1642265</xdr:colOff>
      <xdr:row>1</xdr:row>
      <xdr:rowOff>206187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C7ADFC8-6F78-4EDA-84A9-814F52C9B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16455" r="2905" b="12658"/>
        <a:stretch>
          <a:fillRect/>
        </a:stretch>
      </xdr:blipFill>
      <xdr:spPr>
        <a:xfrm>
          <a:off x="7114984" y="45570"/>
          <a:ext cx="2470010" cy="537135"/>
        </a:xfrm>
        <a:prstGeom prst="rect">
          <a:avLst/>
        </a:prstGeom>
      </xdr:spPr>
    </xdr:pic>
    <xdr:clientData/>
  </xdr:twoCellAnchor>
  <xdr:twoCellAnchor>
    <xdr:from>
      <xdr:col>0</xdr:col>
      <xdr:colOff>35859</xdr:colOff>
      <xdr:row>2</xdr:row>
      <xdr:rowOff>29584</xdr:rowOff>
    </xdr:from>
    <xdr:to>
      <xdr:col>2</xdr:col>
      <xdr:colOff>3895554</xdr:colOff>
      <xdr:row>9</xdr:row>
      <xdr:rowOff>13746</xdr:rowOff>
    </xdr:to>
    <xdr:grpSp>
      <xdr:nvGrpSpPr>
        <xdr:cNvPr id="6" name="群組 5">
          <a:extLst>
            <a:ext uri="{FF2B5EF4-FFF2-40B4-BE49-F238E27FC236}">
              <a16:creationId xmlns:a16="http://schemas.microsoft.com/office/drawing/2014/main" id="{D39814AC-A584-48D0-8F6B-27DD4E3BBB84}"/>
            </a:ext>
          </a:extLst>
        </xdr:cNvPr>
        <xdr:cNvGrpSpPr/>
      </xdr:nvGrpSpPr>
      <xdr:grpSpPr>
        <a:xfrm>
          <a:off x="35859" y="624479"/>
          <a:ext cx="5002695" cy="1528214"/>
          <a:chOff x="22860" y="624839"/>
          <a:chExt cx="4713135" cy="1313699"/>
        </a:xfrm>
      </xdr:grpSpPr>
      <xdr:sp macro="" textlink="">
        <xdr:nvSpPr>
          <xdr:cNvPr id="7" name="文字方塊 6">
            <a:extLst>
              <a:ext uri="{FF2B5EF4-FFF2-40B4-BE49-F238E27FC236}">
                <a16:creationId xmlns:a16="http://schemas.microsoft.com/office/drawing/2014/main" id="{2FAE7C57-132D-4539-FCF6-32E8E25ED57A}"/>
              </a:ext>
            </a:extLst>
          </xdr:cNvPr>
          <xdr:cNvSpPr txBox="1"/>
        </xdr:nvSpPr>
        <xdr:spPr>
          <a:xfrm>
            <a:off x="1068312" y="624839"/>
            <a:ext cx="3667683" cy="1313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20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台灣生活品質發展股份有限公司</a:t>
            </a:r>
            <a:endParaRPr lang="en-US" altLang="zh-TW" sz="20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台北市士林區中山北路五段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500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新北市中和區景平路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71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之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7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號</a:t>
            </a:r>
            <a:r>
              <a:rPr lang="en-US" altLang="zh-TW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2</a:t>
            </a:r>
            <a:r>
              <a:rPr lang="zh-TW" altLang="en-US" sz="1400">
                <a:ln>
                  <a:noFill/>
                </a:ln>
                <a:solidFill>
                  <a:schemeClr val="dk1"/>
                </a:solidFill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樓本號</a:t>
            </a:r>
            <a:endParaRPr lang="en-US" altLang="zh-TW" sz="1400">
              <a:ln>
                <a:noFill/>
              </a:ln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  <a:p>
            <a:pPr>
              <a:lnSpc>
                <a:spcPts val="17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TEL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02-2242-1955</a:t>
            </a:r>
          </a:p>
          <a:p>
            <a:pPr>
              <a:lnSpc>
                <a:spcPts val="1500"/>
              </a:lnSpc>
            </a:pP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FAX</a:t>
            </a:r>
            <a:r>
              <a:rPr lang="zh-TW" altLang="en-US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：</a:t>
            </a:r>
            <a:r>
              <a:rPr lang="en-US" altLang="zh-TW" sz="1400">
                <a:ln>
                  <a:noFill/>
                </a:ln>
                <a:latin typeface="華康魏碑體" panose="03000709000000000000" pitchFamily="65" charset="-120"/>
                <a:ea typeface="華康魏碑體" panose="03000709000000000000" pitchFamily="65" charset="-120"/>
                <a:cs typeface="Arial" panose="020B0604020202020204" pitchFamily="34" charset="0"/>
              </a:rPr>
              <a:t>02-2242-1905</a:t>
            </a:r>
            <a:endPara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endParaRPr>
          </a:p>
        </xdr:txBody>
      </xdr:sp>
      <xdr:pic>
        <xdr:nvPicPr>
          <xdr:cNvPr id="8" name="圖片 7">
            <a:extLst>
              <a:ext uri="{FF2B5EF4-FFF2-40B4-BE49-F238E27FC236}">
                <a16:creationId xmlns:a16="http://schemas.microsoft.com/office/drawing/2014/main" id="{76AE538D-4708-17F5-EF37-8D9D28C7FC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2860" y="692399"/>
            <a:ext cx="1070678" cy="949843"/>
          </a:xfrm>
          <a:prstGeom prst="rect">
            <a:avLst/>
          </a:prstGeom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314488</xdr:colOff>
      <xdr:row>16</xdr:row>
      <xdr:rowOff>23440</xdr:rowOff>
    </xdr:from>
    <xdr:to>
      <xdr:col>2</xdr:col>
      <xdr:colOff>1603997</xdr:colOff>
      <xdr:row>25</xdr:row>
      <xdr:rowOff>215348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2CDE6489-735F-4996-82D3-DBEBDA004696}"/>
            </a:ext>
          </a:extLst>
        </xdr:cNvPr>
        <xdr:cNvSpPr txBox="1"/>
      </xdr:nvSpPr>
      <xdr:spPr>
        <a:xfrm>
          <a:off x="314488" y="7494353"/>
          <a:ext cx="2200596" cy="227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700"/>
            </a:lnSpc>
          </a:pPr>
          <a:r>
            <a:rPr lang="zh-TW" altLang="en-US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甲方</a:t>
          </a:r>
          <a:br>
            <a:rPr lang="en-US" altLang="zh-TW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</a:br>
          <a:r>
            <a:rPr lang="zh-TW" altLang="en-US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名　　稱：傑凱工程行</a:t>
          </a:r>
          <a:endParaRPr lang="en-US" altLang="zh-TW" sz="1400" b="1"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r>
            <a:rPr lang="zh-TW" altLang="en-US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代 表 人：陳信寬</a:t>
          </a:r>
          <a:endParaRPr lang="en-US" altLang="zh-TW" sz="1400" b="1"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>
            <a:lnSpc>
              <a:spcPts val="1700"/>
            </a:lnSpc>
          </a:pPr>
          <a:r>
            <a:rPr lang="zh-TW" altLang="en-US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統一編號：</a:t>
          </a:r>
          <a:r>
            <a:rPr lang="en-US" altLang="zh-TW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09746796</a:t>
          </a:r>
        </a:p>
      </xdr:txBody>
    </xdr:sp>
    <xdr:clientData/>
  </xdr:twoCellAnchor>
  <xdr:twoCellAnchor>
    <xdr:from>
      <xdr:col>2</xdr:col>
      <xdr:colOff>3403329</xdr:colOff>
      <xdr:row>16</xdr:row>
      <xdr:rowOff>34290</xdr:rowOff>
    </xdr:from>
    <xdr:to>
      <xdr:col>6</xdr:col>
      <xdr:colOff>229326</xdr:colOff>
      <xdr:row>26</xdr:row>
      <xdr:rowOff>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F8A9E311-6F89-49E8-8843-D13C9F74EFAF}"/>
            </a:ext>
          </a:extLst>
        </xdr:cNvPr>
        <xdr:cNvSpPr txBox="1"/>
      </xdr:nvSpPr>
      <xdr:spPr>
        <a:xfrm>
          <a:off x="4157709" y="6678930"/>
          <a:ext cx="2106657" cy="24841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700"/>
            </a:lnSpc>
          </a:pPr>
          <a:r>
            <a:rPr lang="zh-TW" altLang="en-US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乙方 </a:t>
          </a:r>
          <a:endParaRPr lang="en-US" altLang="zh-TW" sz="800" b="1"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>
            <a:lnSpc>
              <a:spcPts val="1700"/>
            </a:lnSpc>
          </a:pPr>
          <a:r>
            <a:rPr lang="zh-TW" altLang="en-US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姓　　　名</a:t>
          </a:r>
          <a:r>
            <a:rPr lang="en-US" altLang="zh-TW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</a:t>
          </a:r>
          <a:r>
            <a:rPr lang="zh-TW" altLang="en-US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抬頭</a:t>
          </a:r>
          <a:r>
            <a:rPr lang="en-US" altLang="zh-TW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)</a:t>
          </a:r>
          <a:r>
            <a:rPr lang="zh-TW" altLang="en-US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endParaRPr lang="en-US" altLang="zh-TW" sz="1400" b="1"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>
            <a:lnSpc>
              <a:spcPts val="1700"/>
            </a:lnSpc>
          </a:pPr>
          <a:br>
            <a:rPr lang="en-US" altLang="zh-TW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</a:br>
          <a:r>
            <a:rPr lang="zh-TW" altLang="en-US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身分證字號</a:t>
          </a:r>
          <a:r>
            <a:rPr lang="en-US" altLang="zh-TW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</a:t>
          </a:r>
          <a:r>
            <a:rPr lang="zh-TW" altLang="en-US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統編</a:t>
          </a:r>
          <a:r>
            <a:rPr lang="en-US" altLang="zh-TW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)</a:t>
          </a:r>
          <a:r>
            <a:rPr lang="zh-TW" altLang="en-US" sz="1400" b="1"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endParaRPr lang="en-US" altLang="zh-TW" sz="1400" b="1"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>
            <a:lnSpc>
              <a:spcPts val="1700"/>
            </a:lnSpc>
          </a:pPr>
          <a:endParaRPr lang="en-US" altLang="zh-TW" sz="1400" b="1"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1"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生</a:t>
          </a:r>
          <a:r>
            <a:rPr lang="zh-TW" altLang="en-US" sz="1400" b="1"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　　　　　　</a:t>
          </a:r>
          <a:r>
            <a:rPr lang="zh-TW" altLang="zh-TW" sz="1400" b="1"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日：</a:t>
          </a:r>
          <a:endParaRPr lang="en-US" altLang="zh-TW" sz="1400" b="1">
            <a:solidFill>
              <a:schemeClr val="dk1"/>
            </a:solidFill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1">
            <a:solidFill>
              <a:schemeClr val="dk1"/>
            </a:solidFill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1">
              <a:solidFill>
                <a:schemeClr val="dk1"/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發　票　地　址　：</a:t>
          </a:r>
          <a:endParaRPr lang="zh-TW" altLang="zh-TW" sz="1400" b="1">
            <a:solidFill>
              <a:schemeClr val="dk1"/>
            </a:solidFill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>
            <a:lnSpc>
              <a:spcPts val="1700"/>
            </a:lnSpc>
          </a:pPr>
          <a:endParaRPr lang="en-US" altLang="zh-TW" sz="1400" b="1"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>
            <a:lnSpc>
              <a:spcPts val="1700"/>
            </a:lnSpc>
          </a:pPr>
          <a:endParaRPr lang="en-US" altLang="zh-TW" sz="1400" b="1"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478322</xdr:colOff>
      <xdr:row>19</xdr:row>
      <xdr:rowOff>108505</xdr:rowOff>
    </xdr:from>
    <xdr:to>
      <xdr:col>7</xdr:col>
      <xdr:colOff>1021590</xdr:colOff>
      <xdr:row>23</xdr:row>
      <xdr:rowOff>9848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82380B24-88E5-4E7E-84FD-8DDCBFE06900}"/>
            </a:ext>
          </a:extLst>
        </xdr:cNvPr>
        <xdr:cNvSpPr txBox="1"/>
      </xdr:nvSpPr>
      <xdr:spPr>
        <a:xfrm>
          <a:off x="7195518" y="8275157"/>
          <a:ext cx="1437789" cy="828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400"/>
            </a:lnSpc>
          </a:pPr>
          <a:r>
            <a:rPr lang="zh-TW" altLang="en-US" sz="1200" b="1">
              <a:solidFill>
                <a:schemeClr val="bg1">
                  <a:lumMod val="75000"/>
                </a:schemeClr>
              </a:solidFill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若同意本報價，請用印簽名，並回傳至本公司</a:t>
          </a:r>
          <a:endParaRPr lang="en-US" altLang="zh-TW" sz="1200" b="1">
            <a:solidFill>
              <a:schemeClr val="bg1">
                <a:lumMod val="75000"/>
              </a:schemeClr>
            </a:solidFill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>
            <a:lnSpc>
              <a:spcPts val="1200"/>
            </a:lnSpc>
          </a:pPr>
          <a:endParaRPr lang="en-US" altLang="zh-TW" sz="1200" b="1">
            <a:solidFill>
              <a:schemeClr val="bg1">
                <a:lumMod val="75000"/>
              </a:schemeClr>
            </a:solidFill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>
            <a:lnSpc>
              <a:spcPts val="1100"/>
            </a:lnSpc>
          </a:pPr>
          <a:endParaRPr lang="en-US" altLang="zh-TW" sz="1200" b="1">
            <a:solidFill>
              <a:schemeClr val="bg1">
                <a:lumMod val="75000"/>
              </a:schemeClr>
            </a:solidFill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201600</xdr:colOff>
      <xdr:row>2</xdr:row>
      <xdr:rowOff>0</xdr:rowOff>
    </xdr:from>
    <xdr:to>
      <xdr:col>4</xdr:col>
      <xdr:colOff>90483</xdr:colOff>
      <xdr:row>7</xdr:row>
      <xdr:rowOff>139879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4A1B43AF-9F4B-457F-9EB3-A6A408885304}"/>
            </a:ext>
          </a:extLst>
        </xdr:cNvPr>
        <xdr:cNvSpPr txBox="1"/>
      </xdr:nvSpPr>
      <xdr:spPr>
        <a:xfrm>
          <a:off x="1112687" y="538370"/>
          <a:ext cx="4121296" cy="12994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8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傑凱工程行</a:t>
          </a:r>
          <a:endParaRPr lang="en-US" altLang="zh-TW" sz="1800">
            <a:ln>
              <a:noFill/>
            </a:ln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新北市中和區景平路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71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之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7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號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5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樓之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9</a:t>
          </a:r>
        </a:p>
        <a:p>
          <a:pPr>
            <a:lnSpc>
              <a:spcPts val="1700"/>
            </a:lnSpc>
          </a:pP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TEL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(02)2242-1955</a:t>
          </a:r>
        </a:p>
        <a:p>
          <a:pPr>
            <a:lnSpc>
              <a:spcPts val="1500"/>
            </a:lnSpc>
          </a:pP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FAX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(02)2242-1905</a:t>
          </a:r>
          <a:endParaRPr lang="zh-TW" altLang="en-US" sz="1400">
            <a:ln>
              <a:noFill/>
            </a:ln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2</xdr:row>
      <xdr:rowOff>47625</xdr:rowOff>
    </xdr:from>
    <xdr:to>
      <xdr:col>2</xdr:col>
      <xdr:colOff>153444</xdr:colOff>
      <xdr:row>6</xdr:row>
      <xdr:rowOff>103317</xdr:rowOff>
    </xdr:to>
    <xdr:pic>
      <xdr:nvPicPr>
        <xdr:cNvPr id="8" name="圖片 5">
          <a:extLst>
            <a:ext uri="{FF2B5EF4-FFF2-40B4-BE49-F238E27FC236}">
              <a16:creationId xmlns:a16="http://schemas.microsoft.com/office/drawing/2014/main" id="{816B7969-4A20-4018-8FC8-6F0E1C930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" t="14894" r="71848" b="18617"/>
        <a:stretch>
          <a:fillRect/>
        </a:stretch>
      </xdr:blipFill>
      <xdr:spPr bwMode="auto">
        <a:xfrm>
          <a:off x="0" y="585995"/>
          <a:ext cx="1064531" cy="983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665012</xdr:colOff>
      <xdr:row>2</xdr:row>
      <xdr:rowOff>0</xdr:rowOff>
    </xdr:from>
    <xdr:to>
      <xdr:col>2</xdr:col>
      <xdr:colOff>223833</xdr:colOff>
      <xdr:row>8</xdr:row>
      <xdr:rowOff>156444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20CD7811-6411-4FCE-8835-5EE683DFE3E8}"/>
            </a:ext>
          </a:extLst>
        </xdr:cNvPr>
        <xdr:cNvSpPr txBox="1"/>
      </xdr:nvSpPr>
      <xdr:spPr>
        <a:xfrm>
          <a:off x="1112687" y="600075"/>
          <a:ext cx="4121296" cy="12994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8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傑凱工程行</a:t>
          </a:r>
          <a:endParaRPr lang="en-US" altLang="zh-TW" sz="1800">
            <a:ln>
              <a:noFill/>
            </a:ln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新北市中和區景平路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71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之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7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號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5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樓之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9</a:t>
          </a:r>
        </a:p>
        <a:p>
          <a:pPr>
            <a:lnSpc>
              <a:spcPts val="1700"/>
            </a:lnSpc>
          </a:pP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TEL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(02)2242-1955</a:t>
          </a:r>
        </a:p>
        <a:p>
          <a:pPr>
            <a:lnSpc>
              <a:spcPts val="1500"/>
            </a:lnSpc>
          </a:pP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FAX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(02)2242-1905</a:t>
          </a:r>
          <a:endParaRPr lang="zh-TW" altLang="en-US" sz="1400">
            <a:ln>
              <a:noFill/>
            </a:ln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2</xdr:row>
      <xdr:rowOff>47625</xdr:rowOff>
    </xdr:from>
    <xdr:to>
      <xdr:col>1</xdr:col>
      <xdr:colOff>616856</xdr:colOff>
      <xdr:row>6</xdr:row>
      <xdr:rowOff>116569</xdr:rowOff>
    </xdr:to>
    <xdr:pic>
      <xdr:nvPicPr>
        <xdr:cNvPr id="4" name="圖片 5">
          <a:extLst>
            <a:ext uri="{FF2B5EF4-FFF2-40B4-BE49-F238E27FC236}">
              <a16:creationId xmlns:a16="http://schemas.microsoft.com/office/drawing/2014/main" id="{2A53D72B-1DE2-4B35-94FD-CC33D1447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" t="14894" r="71848" b="18617"/>
        <a:stretch>
          <a:fillRect/>
        </a:stretch>
      </xdr:blipFill>
      <xdr:spPr bwMode="auto">
        <a:xfrm>
          <a:off x="0" y="647700"/>
          <a:ext cx="1064531" cy="983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663651</xdr:colOff>
      <xdr:row>2</xdr:row>
      <xdr:rowOff>0</xdr:rowOff>
    </xdr:from>
    <xdr:to>
      <xdr:col>2</xdr:col>
      <xdr:colOff>226554</xdr:colOff>
      <xdr:row>8</xdr:row>
      <xdr:rowOff>142837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755D3B8B-B296-454D-8E4E-58A66D21874C}"/>
            </a:ext>
          </a:extLst>
        </xdr:cNvPr>
        <xdr:cNvSpPr txBox="1"/>
      </xdr:nvSpPr>
      <xdr:spPr>
        <a:xfrm>
          <a:off x="1112687" y="598714"/>
          <a:ext cx="4121296" cy="12994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8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傑凱工程行</a:t>
          </a:r>
          <a:endParaRPr lang="en-US" altLang="zh-TW" sz="1800">
            <a:ln>
              <a:noFill/>
            </a:ln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新北市中和區景平路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71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之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7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號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5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樓之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9</a:t>
          </a:r>
        </a:p>
        <a:p>
          <a:pPr>
            <a:lnSpc>
              <a:spcPts val="1700"/>
            </a:lnSpc>
          </a:pP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TEL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(02)2242-1955</a:t>
          </a:r>
        </a:p>
        <a:p>
          <a:pPr>
            <a:lnSpc>
              <a:spcPts val="1500"/>
            </a:lnSpc>
          </a:pP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FAX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(02)2242-1905</a:t>
          </a:r>
          <a:endParaRPr lang="zh-TW" altLang="en-US" sz="1400">
            <a:ln>
              <a:noFill/>
            </a:ln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2</xdr:row>
      <xdr:rowOff>47625</xdr:rowOff>
    </xdr:from>
    <xdr:to>
      <xdr:col>1</xdr:col>
      <xdr:colOff>615495</xdr:colOff>
      <xdr:row>6</xdr:row>
      <xdr:rowOff>105683</xdr:rowOff>
    </xdr:to>
    <xdr:pic>
      <xdr:nvPicPr>
        <xdr:cNvPr id="3" name="圖片 5">
          <a:extLst>
            <a:ext uri="{FF2B5EF4-FFF2-40B4-BE49-F238E27FC236}">
              <a16:creationId xmlns:a16="http://schemas.microsoft.com/office/drawing/2014/main" id="{09BF4C00-453B-4624-A748-28D690FE8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" t="14894" r="71848" b="18617"/>
        <a:stretch>
          <a:fillRect/>
        </a:stretch>
      </xdr:blipFill>
      <xdr:spPr bwMode="auto">
        <a:xfrm>
          <a:off x="0" y="646339"/>
          <a:ext cx="1064531" cy="983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693587</xdr:colOff>
      <xdr:row>2</xdr:row>
      <xdr:rowOff>0</xdr:rowOff>
    </xdr:from>
    <xdr:to>
      <xdr:col>4</xdr:col>
      <xdr:colOff>693964</xdr:colOff>
      <xdr:row>7</xdr:row>
      <xdr:rowOff>156444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49AA5587-0F3F-4FDC-BD1D-583251E885CF}"/>
            </a:ext>
          </a:extLst>
        </xdr:cNvPr>
        <xdr:cNvSpPr txBox="1"/>
      </xdr:nvSpPr>
      <xdr:spPr>
        <a:xfrm>
          <a:off x="1142623" y="598714"/>
          <a:ext cx="5892270" cy="1313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8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傑凱工程工程有限公司 </a:t>
          </a:r>
          <a:r>
            <a:rPr lang="en-US" altLang="zh-TW" sz="1400">
              <a:solidFill>
                <a:schemeClr val="dk1"/>
              </a:solidFill>
              <a:effectLst/>
              <a:latin typeface="華康隸書體W5" panose="03000509000000000000" pitchFamily="65" charset="-120"/>
              <a:ea typeface="華康隸書體W5" panose="03000509000000000000" pitchFamily="65" charset="-120"/>
              <a:cs typeface="Calibri" panose="020F0502020204030204" pitchFamily="34" charset="0"/>
            </a:rPr>
            <a:t>JIEKAI WATERPROOF CONSTRUCTION</a:t>
          </a:r>
          <a:endParaRPr lang="en-US" altLang="zh-TW" sz="1400">
            <a:ln>
              <a:noFill/>
            </a:ln>
            <a:latin typeface="華康隸書體W5" panose="03000509000000000000" pitchFamily="65" charset="-120"/>
            <a:ea typeface="華康隸書體W5" panose="03000509000000000000" pitchFamily="65" charset="-120"/>
            <a:cs typeface="Calibri" panose="020F0502020204030204" pitchFamily="34" charset="0"/>
          </a:endParaRPr>
        </a:p>
        <a:p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新北市中和區景平路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71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之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6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號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12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樓</a:t>
          </a:r>
          <a:endParaRPr lang="en-US" altLang="zh-TW" sz="1400">
            <a:ln>
              <a:noFill/>
            </a:ln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>
            <a:lnSpc>
              <a:spcPts val="1700"/>
            </a:lnSpc>
          </a:pP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TEL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(02)2242-1955</a:t>
          </a:r>
        </a:p>
        <a:p>
          <a:pPr>
            <a:lnSpc>
              <a:spcPts val="1500"/>
            </a:lnSpc>
          </a:pP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FAX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(02)2242-1905</a:t>
          </a:r>
          <a:endParaRPr lang="zh-TW" altLang="en-US" sz="1400">
            <a:ln>
              <a:noFill/>
            </a:ln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28575</xdr:colOff>
      <xdr:row>2</xdr:row>
      <xdr:rowOff>47625</xdr:rowOff>
    </xdr:from>
    <xdr:to>
      <xdr:col>1</xdr:col>
      <xdr:colOff>638175</xdr:colOff>
      <xdr:row>6</xdr:row>
      <xdr:rowOff>123825</xdr:rowOff>
    </xdr:to>
    <xdr:pic>
      <xdr:nvPicPr>
        <xdr:cNvPr id="17474" name="圖片 5">
          <a:extLst>
            <a:ext uri="{FF2B5EF4-FFF2-40B4-BE49-F238E27FC236}">
              <a16:creationId xmlns:a16="http://schemas.microsoft.com/office/drawing/2014/main" id="{B800C8EA-7215-4014-B65E-65F09A84C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" t="14894" r="71848" b="18617"/>
        <a:stretch>
          <a:fillRect/>
        </a:stretch>
      </xdr:blipFill>
      <xdr:spPr bwMode="auto">
        <a:xfrm>
          <a:off x="28575" y="647700"/>
          <a:ext cx="105727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688224</xdr:colOff>
      <xdr:row>2</xdr:row>
      <xdr:rowOff>0</xdr:rowOff>
    </xdr:from>
    <xdr:to>
      <xdr:col>5</xdr:col>
      <xdr:colOff>305200</xdr:colOff>
      <xdr:row>7</xdr:row>
      <xdr:rowOff>192462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A628B742-F132-41F9-8A3B-D56CAE6620B0}"/>
            </a:ext>
          </a:extLst>
        </xdr:cNvPr>
        <xdr:cNvSpPr txBox="1"/>
      </xdr:nvSpPr>
      <xdr:spPr>
        <a:xfrm>
          <a:off x="1114048" y="537882"/>
          <a:ext cx="5892270" cy="1313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8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傑凱工程工程有限公司 </a:t>
          </a:r>
          <a:r>
            <a:rPr lang="en-US" altLang="zh-TW" sz="1400">
              <a:solidFill>
                <a:schemeClr val="dk1"/>
              </a:solidFill>
              <a:effectLst/>
              <a:latin typeface="華康隸書體W5" panose="03000509000000000000" pitchFamily="65" charset="-120"/>
              <a:ea typeface="華康隸書體W5" panose="03000509000000000000" pitchFamily="65" charset="-120"/>
              <a:cs typeface="Calibri" panose="020F0502020204030204" pitchFamily="34" charset="0"/>
            </a:rPr>
            <a:t>JIEKAI WATERPROOF CONSTRUCTION</a:t>
          </a:r>
          <a:endParaRPr lang="en-US" altLang="zh-TW" sz="1400">
            <a:ln>
              <a:noFill/>
            </a:ln>
            <a:latin typeface="華康隸書體W5" panose="03000509000000000000" pitchFamily="65" charset="-120"/>
            <a:ea typeface="華康隸書體W5" panose="03000509000000000000" pitchFamily="65" charset="-120"/>
            <a:cs typeface="Calibri" panose="020F0502020204030204" pitchFamily="34" charset="0"/>
          </a:endParaRPr>
        </a:p>
        <a:p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新北市中和區景平路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71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之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6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號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12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樓</a:t>
          </a:r>
          <a:endParaRPr lang="en-US" altLang="zh-TW" sz="1400">
            <a:ln>
              <a:noFill/>
            </a:ln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  <a:p>
          <a:pPr>
            <a:lnSpc>
              <a:spcPts val="1700"/>
            </a:lnSpc>
          </a:pP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TEL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(02)2242-1955</a:t>
          </a:r>
        </a:p>
        <a:p>
          <a:pPr>
            <a:lnSpc>
              <a:spcPts val="1500"/>
            </a:lnSpc>
          </a:pP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FAX</a:t>
          </a:r>
          <a:r>
            <a:rPr lang="zh-TW" altLang="en-US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：</a:t>
          </a:r>
          <a:r>
            <a:rPr lang="en-US" altLang="zh-TW" sz="1400">
              <a:ln>
                <a:noFill/>
              </a:ln>
              <a:latin typeface="華康魏碑體" panose="03000709000000000000" pitchFamily="65" charset="-120"/>
              <a:ea typeface="華康魏碑體" panose="03000709000000000000" pitchFamily="65" charset="-120"/>
              <a:cs typeface="Arial" panose="020B0604020202020204" pitchFamily="34" charset="0"/>
            </a:rPr>
            <a:t>(02)2242-1905</a:t>
          </a:r>
          <a:endParaRPr lang="zh-TW" altLang="en-US" sz="1400">
            <a:ln>
              <a:noFill/>
            </a:ln>
            <a:latin typeface="華康魏碑體" panose="03000709000000000000" pitchFamily="65" charset="-120"/>
            <a:ea typeface="華康魏碑體" panose="03000709000000000000" pitchFamily="65" charset="-12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2</xdr:row>
      <xdr:rowOff>47625</xdr:rowOff>
    </xdr:from>
    <xdr:to>
      <xdr:col>1</xdr:col>
      <xdr:colOff>632812</xdr:colOff>
      <xdr:row>6</xdr:row>
      <xdr:rowOff>152640</xdr:rowOff>
    </xdr:to>
    <xdr:pic>
      <xdr:nvPicPr>
        <xdr:cNvPr id="3" name="圖片 5">
          <a:extLst>
            <a:ext uri="{FF2B5EF4-FFF2-40B4-BE49-F238E27FC236}">
              <a16:creationId xmlns:a16="http://schemas.microsoft.com/office/drawing/2014/main" id="{81373402-521F-4395-8671-3A69C8F43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" t="14894" r="71848" b="18617"/>
        <a:stretch>
          <a:fillRect/>
        </a:stretch>
      </xdr:blipFill>
      <xdr:spPr bwMode="auto">
        <a:xfrm>
          <a:off x="0" y="585507"/>
          <a:ext cx="1058636" cy="1001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ropbox\&#26032;&#20625;&#20977;&#24037;&#31243;\01_&#20625;&#20977;&#24037;&#31243;\01_&#23560;&#26696;&#36914;&#34892;&#21312;\2024&#24180;&#23560;&#26696;\Y_&#31038;&#21312;&#22823;&#27155;\Y2024029_&#21488;&#21271;&#24066;&#26494;&#23665;&#21312;&#19977;&#27665;&#36335;74&#24055;6&#34399;7&#27155;&#20043;&#19968;&#28431;&#27700;&#27298;&#20462;&#24037;&#31243;\05_&#22577;&#20729;&amp;&#21512;&#32004;\01_&#22577;&#20729;&#36039;&#26009;\&#20625;&#20977;_Y2024029_&#22577;&#20729;&#21934;-&#21488;&#21271;&#24066;&#26494;&#23665;&#21312;&#19977;&#27665;&#36335;74&#24055;6&#34399;7&#27155;&#20043;&#19968;&#38914;&#27155;&#22320;&#22378;&#33267;&#22806;&#29254;&#28402;&#27700;&#25913;&#21892;&#24037;&#31243;&#21450;&#38450;&#27700;&#20445;&#39178;&#21512;&#32004;.xlsx" TargetMode="External"/><Relationship Id="rId1" Type="http://schemas.openxmlformats.org/officeDocument/2006/relationships/externalLinkPath" Target="file:///E:\Dropbox\&#26032;&#20625;&#20977;&#24037;&#31243;\01_&#20625;&#20977;&#24037;&#31243;\01_&#23560;&#26696;&#36914;&#34892;&#21312;\2024&#24180;&#23560;&#26696;\Y_&#31038;&#21312;&#22823;&#27155;\Y2024029_&#21488;&#21271;&#24066;&#26494;&#23665;&#21312;&#19977;&#27665;&#36335;74&#24055;6&#34399;7&#27155;&#20043;&#19968;&#28431;&#27700;&#27298;&#20462;&#24037;&#31243;\05_&#22577;&#20729;&amp;&#21512;&#32004;\01_&#22577;&#20729;&#36039;&#26009;\&#20625;&#20977;_Y2024029_&#22577;&#20729;&#21934;-&#21488;&#21271;&#24066;&#26494;&#23665;&#21312;&#19977;&#27665;&#36335;74&#24055;6&#34399;7&#27155;&#20043;&#19968;&#38914;&#27155;&#22320;&#22378;&#33267;&#22806;&#29254;&#28402;&#27700;&#25913;&#21892;&#24037;&#31243;&#21450;&#38450;&#27700;&#20445;&#39178;&#21512;&#320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頂樓+女兒牆"/>
      <sheetName val="頂樓+女兒牆保養合約"/>
      <sheetName val="頂樓到七樓外牆"/>
      <sheetName val="頂樓到七樓外牆保養合約"/>
      <sheetName val="7樓外牆"/>
    </sheetNames>
    <sheetDataSet>
      <sheetData sheetId="0"/>
      <sheetData sheetId="1">
        <row r="40">
          <cell r="F40">
            <v>857107.48331999988</v>
          </cell>
        </row>
      </sheetData>
      <sheetData sheetId="2">
        <row r="47">
          <cell r="F47">
            <v>1175635.7075399999</v>
          </cell>
        </row>
      </sheetData>
      <sheetData sheetId="3">
        <row r="40">
          <cell r="F40">
            <v>972702.72068319982</v>
          </cell>
        </row>
      </sheetData>
      <sheetData sheetId="4">
        <row r="48">
          <cell r="F48">
            <v>1370665.7737709999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chenyuder@micron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5A74-9C1C-4BC7-B15D-7EC6E9BE5B95}">
  <sheetPr>
    <tabColor theme="9" tint="0.79998168889431442"/>
    <pageSetUpPr fitToPage="1"/>
  </sheetPr>
  <dimension ref="A1:V20"/>
  <sheetViews>
    <sheetView showGridLines="0" view="pageBreakPreview" zoomScale="85" zoomScaleNormal="70" zoomScaleSheetLayoutView="85" zoomScalePageLayoutView="85" workbookViewId="0">
      <selection activeCell="C28" sqref="C28"/>
    </sheetView>
  </sheetViews>
  <sheetFormatPr defaultColWidth="9" defaultRowHeight="17.399999999999999" x14ac:dyDescent="0.3"/>
  <cols>
    <col min="1" max="1" width="5.6640625" style="7" customWidth="1"/>
    <col min="2" max="2" width="4.33203125" style="7" bestFit="1" customWidth="1"/>
    <col min="3" max="3" width="59.6640625" style="4" customWidth="1"/>
    <col min="4" max="4" width="8.44140625" style="4" customWidth="1"/>
    <col min="5" max="5" width="10.44140625" style="69" bestFit="1" customWidth="1"/>
    <col min="6" max="6" width="14.664062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44140625" style="4" bestFit="1" customWidth="1"/>
    <col min="12" max="13" width="19.6640625" style="4" bestFit="1" customWidth="1"/>
    <col min="14" max="14" width="14.6640625" style="4" bestFit="1" customWidth="1"/>
    <col min="15" max="15" width="17.44140625" style="4" bestFit="1" customWidth="1"/>
    <col min="16" max="16" width="14.6640625" style="4" bestFit="1" customWidth="1"/>
    <col min="17" max="17" width="16" style="181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6" t="s">
        <v>48</v>
      </c>
      <c r="G3" s="223"/>
      <c r="H3" s="224"/>
      <c r="I3" s="73"/>
    </row>
    <row r="4" spans="1:22" x14ac:dyDescent="0.3">
      <c r="A4" s="17"/>
      <c r="B4" s="3"/>
      <c r="D4" s="7"/>
      <c r="E4" s="72"/>
      <c r="F4" s="19"/>
      <c r="G4" s="19"/>
      <c r="H4" s="20"/>
    </row>
    <row r="5" spans="1:22" x14ac:dyDescent="0.3">
      <c r="A5" s="17"/>
      <c r="B5" s="3"/>
      <c r="D5" s="7"/>
      <c r="E5" s="72"/>
      <c r="F5" s="19"/>
      <c r="G5" s="73"/>
      <c r="H5" s="74"/>
      <c r="I5" s="73"/>
    </row>
    <row r="6" spans="1:22" x14ac:dyDescent="0.3">
      <c r="A6" s="17"/>
      <c r="B6" s="3"/>
      <c r="D6" s="7"/>
      <c r="E6" s="72"/>
      <c r="G6" s="73"/>
      <c r="H6" s="74"/>
      <c r="I6" s="73"/>
    </row>
    <row r="7" spans="1:22" x14ac:dyDescent="0.3">
      <c r="A7" s="17"/>
      <c r="B7" s="3"/>
      <c r="D7" s="7"/>
      <c r="E7" s="72"/>
      <c r="F7" s="19" t="s">
        <v>21</v>
      </c>
      <c r="G7" s="73"/>
      <c r="H7" s="74"/>
      <c r="I7" s="73"/>
    </row>
    <row r="8" spans="1:22" x14ac:dyDescent="0.3">
      <c r="A8" s="17"/>
      <c r="B8" s="3"/>
      <c r="D8" s="7"/>
      <c r="E8" s="72"/>
      <c r="F8" s="19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22" t="s">
        <v>25</v>
      </c>
      <c r="G10" s="73"/>
      <c r="H10" s="74"/>
      <c r="I10" s="73"/>
    </row>
    <row r="11" spans="1:22" ht="22.2" customHeight="1" x14ac:dyDescent="0.3">
      <c r="A11" s="23" t="s">
        <v>26</v>
      </c>
      <c r="B11" s="24"/>
      <c r="C11" s="24"/>
      <c r="D11" s="25"/>
      <c r="E11" s="62"/>
      <c r="F11" s="19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180" t="s">
        <v>558</v>
      </c>
      <c r="R12" s="161">
        <v>1.3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x14ac:dyDescent="0.3">
      <c r="A13" s="217" t="s">
        <v>542</v>
      </c>
      <c r="B13" s="218"/>
      <c r="C13" s="218"/>
      <c r="D13" s="218"/>
      <c r="E13" s="218"/>
      <c r="F13" s="218"/>
      <c r="G13" s="218"/>
      <c r="H13" s="219"/>
      <c r="I13" s="7"/>
      <c r="J13" s="157"/>
      <c r="K13" s="157"/>
      <c r="L13" s="187"/>
      <c r="M13" s="187"/>
      <c r="N13" s="162"/>
      <c r="O13" s="186"/>
      <c r="P13" s="162"/>
      <c r="Q13" s="180"/>
      <c r="R13" s="161"/>
      <c r="S13" s="157"/>
      <c r="T13" s="157"/>
      <c r="U13" s="157"/>
      <c r="V13" s="157"/>
    </row>
    <row r="14" spans="1:22" s="139" customFormat="1" ht="60" customHeight="1" x14ac:dyDescent="0.3">
      <c r="A14" s="28">
        <f>ROW()-13</f>
        <v>1</v>
      </c>
      <c r="B14" s="220" t="s">
        <v>620</v>
      </c>
      <c r="C14" s="221"/>
      <c r="D14" s="28" t="s">
        <v>4</v>
      </c>
      <c r="E14" s="37">
        <v>1</v>
      </c>
      <c r="F14" s="94">
        <f>'[1]頂樓+女兒牆'!G41</f>
        <v>0</v>
      </c>
      <c r="G14" s="42">
        <f>E14*F14</f>
        <v>0</v>
      </c>
      <c r="H14" s="28"/>
      <c r="I14" s="7"/>
      <c r="J14" s="28"/>
      <c r="K14" s="28">
        <f>0.01*500+20</f>
        <v>25</v>
      </c>
      <c r="L14" s="28"/>
      <c r="M14" s="28"/>
      <c r="N14" s="166">
        <f t="shared" ref="N14:N19" si="0">ROUNDUP(E14*L14/S14,0)*T14+ROUNDUP(E14*M14/U14,0)*V14</f>
        <v>0</v>
      </c>
      <c r="O14" s="163">
        <f>4000*0.02</f>
        <v>80</v>
      </c>
      <c r="P14" s="179">
        <f t="shared" ref="P14:P19" si="1">E14*O14</f>
        <v>80</v>
      </c>
      <c r="Q14" s="184">
        <f t="shared" ref="Q14:Q19" si="2">(K14+(N14+P14))*$R$12</f>
        <v>136.5</v>
      </c>
      <c r="R14" s="163"/>
      <c r="S14" s="157">
        <v>1</v>
      </c>
      <c r="T14" s="157"/>
      <c r="U14" s="157">
        <v>1</v>
      </c>
      <c r="V14" s="157"/>
    </row>
    <row r="15" spans="1:22" s="139" customFormat="1" ht="60" customHeight="1" x14ac:dyDescent="0.3">
      <c r="A15" s="28">
        <f t="shared" ref="A15" si="3">ROW()-13</f>
        <v>2</v>
      </c>
      <c r="B15" s="220" t="s">
        <v>621</v>
      </c>
      <c r="C15" s="221"/>
      <c r="D15" s="28" t="s">
        <v>4</v>
      </c>
      <c r="E15" s="37">
        <v>1</v>
      </c>
      <c r="F15" s="94">
        <f>'[1]頂樓+女兒牆保養合約'!G48</f>
        <v>0</v>
      </c>
      <c r="G15" s="42">
        <f t="shared" ref="G15" si="4">E15*F15</f>
        <v>0</v>
      </c>
      <c r="H15" s="28"/>
      <c r="I15" s="7"/>
      <c r="J15" s="28"/>
      <c r="K15" s="28"/>
      <c r="L15" s="28"/>
      <c r="M15" s="28"/>
      <c r="N15" s="166">
        <f t="shared" si="0"/>
        <v>0</v>
      </c>
      <c r="O15" s="163"/>
      <c r="P15" s="179">
        <f>E15*O15</f>
        <v>0</v>
      </c>
      <c r="Q15" s="189"/>
      <c r="R15" s="163"/>
      <c r="S15" s="157">
        <v>1</v>
      </c>
      <c r="T15" s="157"/>
      <c r="U15" s="157">
        <v>1</v>
      </c>
      <c r="V15" s="157"/>
    </row>
    <row r="16" spans="1:22" s="145" customFormat="1" x14ac:dyDescent="0.3">
      <c r="A16" s="28"/>
      <c r="B16" s="215" t="s">
        <v>623</v>
      </c>
      <c r="C16" s="216"/>
      <c r="D16" s="28"/>
      <c r="E16" s="37"/>
      <c r="F16" s="94"/>
      <c r="G16" s="156">
        <f>SUM(G14:G15)</f>
        <v>0</v>
      </c>
      <c r="H16" s="28"/>
      <c r="I16" s="7"/>
      <c r="J16" s="170"/>
      <c r="K16" s="170"/>
      <c r="L16" s="170"/>
      <c r="M16" s="170"/>
      <c r="N16" s="171"/>
      <c r="O16" s="171"/>
      <c r="P16" s="171"/>
      <c r="Q16" s="182"/>
      <c r="R16" s="171"/>
      <c r="S16" s="172"/>
      <c r="T16" s="172"/>
      <c r="U16" s="172"/>
      <c r="V16" s="172"/>
    </row>
    <row r="17" spans="1:22" x14ac:dyDescent="0.3">
      <c r="A17" s="217" t="s">
        <v>543</v>
      </c>
      <c r="B17" s="218"/>
      <c r="C17" s="218"/>
      <c r="D17" s="218"/>
      <c r="E17" s="218"/>
      <c r="F17" s="218"/>
      <c r="G17" s="218"/>
      <c r="H17" s="219"/>
      <c r="I17" s="7"/>
      <c r="J17" s="157"/>
      <c r="K17" s="157"/>
      <c r="L17" s="187"/>
      <c r="M17" s="187"/>
      <c r="N17" s="162"/>
      <c r="O17" s="186"/>
      <c r="P17" s="162"/>
      <c r="Q17" s="180"/>
      <c r="R17" s="161"/>
      <c r="S17" s="157"/>
      <c r="T17" s="157"/>
      <c r="U17" s="157"/>
      <c r="V17" s="157"/>
    </row>
    <row r="18" spans="1:22" s="139" customFormat="1" ht="60" customHeight="1" x14ac:dyDescent="0.3">
      <c r="A18" s="28">
        <v>1</v>
      </c>
      <c r="B18" s="220" t="s">
        <v>622</v>
      </c>
      <c r="C18" s="221"/>
      <c r="D18" s="28" t="s">
        <v>4</v>
      </c>
      <c r="E18" s="37">
        <v>1</v>
      </c>
      <c r="F18" s="94">
        <f>[1]頂樓到七樓外牆!G41</f>
        <v>0</v>
      </c>
      <c r="G18" s="42">
        <f t="shared" ref="G18:G19" si="5">E18*F18</f>
        <v>0</v>
      </c>
      <c r="H18" s="28"/>
      <c r="I18" s="7"/>
      <c r="J18" s="173">
        <f>E18*L18/S18</f>
        <v>0.13333333333333333</v>
      </c>
      <c r="K18" s="28"/>
      <c r="L18" s="157">
        <v>4</v>
      </c>
      <c r="M18" s="157"/>
      <c r="N18" s="166">
        <f t="shared" si="0"/>
        <v>425</v>
      </c>
      <c r="O18" s="163">
        <v>350</v>
      </c>
      <c r="P18" s="179">
        <f t="shared" si="1"/>
        <v>350</v>
      </c>
      <c r="Q18" s="188">
        <f>(K18+N18+P18)*($R$12)</f>
        <v>1007.5</v>
      </c>
      <c r="R18" s="157"/>
      <c r="S18" s="157">
        <v>30</v>
      </c>
      <c r="T18" s="157">
        <v>425</v>
      </c>
      <c r="U18" s="157">
        <v>1</v>
      </c>
      <c r="V18" s="157"/>
    </row>
    <row r="19" spans="1:22" s="139" customFormat="1" ht="60" customHeight="1" x14ac:dyDescent="0.3">
      <c r="A19" s="28">
        <v>2</v>
      </c>
      <c r="B19" s="220" t="s">
        <v>621</v>
      </c>
      <c r="C19" s="221"/>
      <c r="D19" s="28" t="s">
        <v>4</v>
      </c>
      <c r="E19" s="37">
        <v>1</v>
      </c>
      <c r="F19" s="94">
        <f>[1]頂樓到七樓外牆保養合約!G49</f>
        <v>0</v>
      </c>
      <c r="G19" s="42">
        <f t="shared" si="5"/>
        <v>0</v>
      </c>
      <c r="H19" s="28"/>
      <c r="I19" s="7"/>
      <c r="J19" s="28">
        <f>ROUNDUP(E19*L19/S19,0)</f>
        <v>1</v>
      </c>
      <c r="K19" s="28"/>
      <c r="L19" s="28">
        <v>1</v>
      </c>
      <c r="M19" s="28"/>
      <c r="N19" s="166">
        <f t="shared" si="0"/>
        <v>14000</v>
      </c>
      <c r="O19" s="163">
        <v>0</v>
      </c>
      <c r="P19" s="179">
        <f t="shared" si="1"/>
        <v>0</v>
      </c>
      <c r="Q19" s="184">
        <f t="shared" si="2"/>
        <v>18200</v>
      </c>
      <c r="R19" s="163"/>
      <c r="S19" s="157">
        <v>50</v>
      </c>
      <c r="T19" s="157">
        <v>14000</v>
      </c>
      <c r="U19" s="157">
        <v>1</v>
      </c>
      <c r="V19" s="157"/>
    </row>
    <row r="20" spans="1:22" s="145" customFormat="1" x14ac:dyDescent="0.3">
      <c r="A20" s="28"/>
      <c r="B20" s="215" t="s">
        <v>623</v>
      </c>
      <c r="C20" s="216"/>
      <c r="D20" s="28"/>
      <c r="E20" s="37"/>
      <c r="F20" s="94"/>
      <c r="G20" s="156">
        <f>SUM(G18:G19)</f>
        <v>0</v>
      </c>
      <c r="H20" s="28"/>
      <c r="I20" s="7"/>
      <c r="J20" s="170"/>
      <c r="K20" s="170"/>
      <c r="L20" s="170"/>
      <c r="M20" s="170"/>
      <c r="N20" s="171"/>
      <c r="O20" s="171"/>
      <c r="P20" s="171"/>
      <c r="Q20" s="182"/>
      <c r="R20" s="171"/>
      <c r="S20" s="172"/>
      <c r="T20" s="172"/>
      <c r="U20" s="172"/>
      <c r="V20" s="172"/>
    </row>
  </sheetData>
  <mergeCells count="11">
    <mergeCell ref="A1:H1"/>
    <mergeCell ref="G3:H3"/>
    <mergeCell ref="B12:C12"/>
    <mergeCell ref="B14:C14"/>
    <mergeCell ref="B15:C15"/>
    <mergeCell ref="A13:H13"/>
    <mergeCell ref="B16:C16"/>
    <mergeCell ref="A17:H17"/>
    <mergeCell ref="B20:C20"/>
    <mergeCell ref="B18:C18"/>
    <mergeCell ref="B19:C19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3" fitToHeight="0" orientation="portrait" horizontalDpi="300" verticalDpi="300" r:id="rId1"/>
  <headerFooter alignWithMargins="0"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BFCF-0289-4D34-AA02-79230F3ED803}">
  <sheetPr>
    <tabColor theme="9" tint="0.79998168889431442"/>
    <pageSetUpPr fitToPage="1"/>
  </sheetPr>
  <dimension ref="A1:V105"/>
  <sheetViews>
    <sheetView showGridLines="0" view="pageBreakPreview" zoomScale="91" zoomScaleNormal="70" zoomScaleSheetLayoutView="85" zoomScalePageLayoutView="85" workbookViewId="0">
      <selection activeCell="B62" sqref="B62:C62"/>
    </sheetView>
  </sheetViews>
  <sheetFormatPr defaultColWidth="9" defaultRowHeight="17.399999999999999" x14ac:dyDescent="0.3"/>
  <cols>
    <col min="1" max="1" width="5.6640625" style="7" customWidth="1"/>
    <col min="2" max="2" width="4.33203125" style="7" bestFit="1" customWidth="1"/>
    <col min="3" max="3" width="59.6640625" style="4" customWidth="1"/>
    <col min="4" max="4" width="8.44140625" style="4" customWidth="1"/>
    <col min="5" max="5" width="10.44140625" style="69" bestFit="1" customWidth="1"/>
    <col min="6" max="6" width="14.664062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44140625" style="4" bestFit="1" customWidth="1"/>
    <col min="12" max="13" width="19.6640625" style="4" bestFit="1" customWidth="1"/>
    <col min="14" max="14" width="14.6640625" style="4" bestFit="1" customWidth="1"/>
    <col min="15" max="15" width="17.44140625" style="4" bestFit="1" customWidth="1"/>
    <col min="16" max="16" width="14.6640625" style="4" bestFit="1" customWidth="1"/>
    <col min="17" max="17" width="16" style="208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6"/>
      <c r="G3" s="223"/>
      <c r="H3" s="224"/>
      <c r="I3" s="73"/>
    </row>
    <row r="4" spans="1:22" x14ac:dyDescent="0.3">
      <c r="A4" s="17"/>
      <c r="B4" s="3"/>
      <c r="D4" s="7"/>
      <c r="E4" s="72"/>
      <c r="F4" s="19"/>
      <c r="G4" s="19"/>
      <c r="H4" s="20"/>
    </row>
    <row r="5" spans="1:22" x14ac:dyDescent="0.3">
      <c r="A5" s="17"/>
      <c r="B5" s="3"/>
      <c r="D5" s="7"/>
      <c r="E5" s="72"/>
      <c r="F5" s="19"/>
      <c r="G5" s="73"/>
      <c r="H5" s="74"/>
      <c r="I5" s="73"/>
    </row>
    <row r="6" spans="1:22" x14ac:dyDescent="0.3">
      <c r="A6" s="17"/>
      <c r="B6" s="3"/>
      <c r="D6" s="7"/>
      <c r="E6" s="72"/>
      <c r="G6" s="73"/>
      <c r="H6" s="74"/>
      <c r="I6" s="73"/>
    </row>
    <row r="7" spans="1:22" x14ac:dyDescent="0.3">
      <c r="A7" s="17"/>
      <c r="B7" s="3"/>
      <c r="D7" s="7"/>
      <c r="E7" s="72"/>
      <c r="F7" s="19" t="s">
        <v>21</v>
      </c>
      <c r="G7" s="73"/>
      <c r="H7" s="74"/>
      <c r="I7" s="73"/>
    </row>
    <row r="8" spans="1:22" x14ac:dyDescent="0.3">
      <c r="A8" s="17"/>
      <c r="B8" s="3"/>
      <c r="D8" s="7"/>
      <c r="E8" s="72"/>
      <c r="F8" s="19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22" t="s">
        <v>25</v>
      </c>
      <c r="G10" s="73"/>
      <c r="H10" s="74"/>
      <c r="I10" s="73"/>
    </row>
    <row r="11" spans="1:22" ht="22.2" customHeight="1" x14ac:dyDescent="0.3">
      <c r="A11" s="23" t="s">
        <v>26</v>
      </c>
      <c r="B11" s="24"/>
      <c r="C11" s="24"/>
      <c r="D11" s="25"/>
      <c r="E11" s="62"/>
      <c r="F11" s="19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209" t="s">
        <v>558</v>
      </c>
      <c r="R12" s="161">
        <v>1.35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x14ac:dyDescent="0.3">
      <c r="A13" s="28" t="s">
        <v>567</v>
      </c>
      <c r="B13" s="217" t="s">
        <v>568</v>
      </c>
      <c r="C13" s="218"/>
      <c r="D13" s="218"/>
      <c r="E13" s="218"/>
      <c r="F13" s="218"/>
      <c r="G13" s="218"/>
      <c r="H13" s="219"/>
      <c r="I13" s="7"/>
      <c r="J13" s="157"/>
      <c r="K13" s="157"/>
      <c r="L13" s="187"/>
      <c r="M13" s="187"/>
      <c r="N13" s="162"/>
      <c r="O13" s="186"/>
      <c r="P13" s="162"/>
      <c r="Q13" s="209"/>
      <c r="R13" s="161"/>
      <c r="S13" s="157"/>
      <c r="T13" s="157"/>
      <c r="U13" s="157"/>
      <c r="V13" s="157"/>
    </row>
    <row r="14" spans="1:22" s="139" customFormat="1" ht="60" customHeight="1" x14ac:dyDescent="0.3">
      <c r="A14" s="28">
        <f t="shared" ref="A14:A75" si="0">ROW()-13</f>
        <v>1</v>
      </c>
      <c r="B14" s="220" t="s">
        <v>670</v>
      </c>
      <c r="C14" s="221"/>
      <c r="D14" s="28" t="s">
        <v>7</v>
      </c>
      <c r="E14" s="37">
        <v>1</v>
      </c>
      <c r="F14" s="94">
        <v>1500</v>
      </c>
      <c r="G14" s="42">
        <f>E14*F14</f>
        <v>1500</v>
      </c>
      <c r="H14" s="28" t="s">
        <v>566</v>
      </c>
      <c r="I14" s="7"/>
      <c r="J14" s="28"/>
      <c r="K14" s="28">
        <f>0.01*500+20</f>
        <v>25</v>
      </c>
      <c r="L14" s="28"/>
      <c r="M14" s="28"/>
      <c r="N14" s="166">
        <f t="shared" ref="N14:N45" si="1">ROUNDUP(E14*L14/S14,0)*T14+ROUNDUP(E14*M14/U14,0)*V14</f>
        <v>0</v>
      </c>
      <c r="O14" s="163">
        <f>4000*0.02</f>
        <v>80</v>
      </c>
      <c r="P14" s="179">
        <f t="shared" ref="P14:P53" si="2">E14*O14</f>
        <v>80</v>
      </c>
      <c r="Q14" s="209">
        <f>(K14+(N14+P14))*$R$12</f>
        <v>141.75</v>
      </c>
      <c r="R14" s="163"/>
      <c r="S14" s="157">
        <v>1</v>
      </c>
      <c r="T14" s="157"/>
      <c r="U14" s="157">
        <v>1</v>
      </c>
      <c r="V14" s="157"/>
    </row>
    <row r="15" spans="1:22" s="139" customFormat="1" ht="60" customHeight="1" x14ac:dyDescent="0.3">
      <c r="A15" s="28">
        <f t="shared" si="0"/>
        <v>2</v>
      </c>
      <c r="B15" s="220" t="s">
        <v>569</v>
      </c>
      <c r="C15" s="221"/>
      <c r="D15" s="28" t="s">
        <v>252</v>
      </c>
      <c r="E15" s="37">
        <v>1</v>
      </c>
      <c r="F15" s="94">
        <v>500</v>
      </c>
      <c r="G15" s="42">
        <f t="shared" ref="G15:G88" si="3">E15*F15</f>
        <v>500</v>
      </c>
      <c r="H15" s="28" t="s">
        <v>566</v>
      </c>
      <c r="I15" s="7"/>
      <c r="J15" s="28"/>
      <c r="K15" s="28"/>
      <c r="L15" s="28"/>
      <c r="M15" s="28"/>
      <c r="N15" s="166">
        <f t="shared" si="1"/>
        <v>0</v>
      </c>
      <c r="O15" s="163"/>
      <c r="P15" s="179">
        <f t="shared" si="2"/>
        <v>0</v>
      </c>
      <c r="Q15" s="210"/>
      <c r="R15" s="163"/>
      <c r="S15" s="157">
        <v>1</v>
      </c>
      <c r="T15" s="157"/>
      <c r="U15" s="157">
        <v>1</v>
      </c>
      <c r="V15" s="157"/>
    </row>
    <row r="16" spans="1:22" s="139" customFormat="1" ht="60" customHeight="1" x14ac:dyDescent="0.3">
      <c r="A16" s="28">
        <f t="shared" si="0"/>
        <v>3</v>
      </c>
      <c r="B16" s="231" t="s">
        <v>223</v>
      </c>
      <c r="C16" s="232"/>
      <c r="D16" s="28" t="s">
        <v>3</v>
      </c>
      <c r="E16" s="37">
        <v>30</v>
      </c>
      <c r="F16" s="94">
        <v>1500</v>
      </c>
      <c r="G16" s="42">
        <f t="shared" si="3"/>
        <v>45000</v>
      </c>
      <c r="H16" s="28"/>
      <c r="I16" s="7"/>
      <c r="J16" s="28"/>
      <c r="K16" s="28"/>
      <c r="L16" s="28">
        <v>1</v>
      </c>
      <c r="M16" s="28"/>
      <c r="N16" s="166">
        <f t="shared" si="1"/>
        <v>5000</v>
      </c>
      <c r="O16" s="163">
        <f>4000*0.22</f>
        <v>880</v>
      </c>
      <c r="P16" s="179">
        <f t="shared" si="2"/>
        <v>26400</v>
      </c>
      <c r="Q16" s="209">
        <f t="shared" ref="Q16:Q49" si="4">(K16+N16+P16)*($R$12)</f>
        <v>42390</v>
      </c>
      <c r="R16" s="163"/>
      <c r="S16" s="160">
        <v>30</v>
      </c>
      <c r="T16" s="160">
        <v>5000</v>
      </c>
      <c r="U16" s="157">
        <v>1</v>
      </c>
      <c r="V16" s="160"/>
    </row>
    <row r="17" spans="1:22" s="139" customFormat="1" ht="60" customHeight="1" x14ac:dyDescent="0.3">
      <c r="A17" s="28">
        <f t="shared" si="0"/>
        <v>4</v>
      </c>
      <c r="B17" s="231" t="s">
        <v>411</v>
      </c>
      <c r="C17" s="232"/>
      <c r="D17" s="32" t="s">
        <v>252</v>
      </c>
      <c r="E17" s="37">
        <v>1</v>
      </c>
      <c r="F17" s="94">
        <v>600</v>
      </c>
      <c r="G17" s="42">
        <f t="shared" si="3"/>
        <v>600</v>
      </c>
      <c r="H17" s="28" t="s">
        <v>566</v>
      </c>
      <c r="I17" s="7"/>
      <c r="J17" s="28"/>
      <c r="K17" s="28"/>
      <c r="L17" s="28">
        <v>1</v>
      </c>
      <c r="M17" s="28"/>
      <c r="N17" s="166">
        <f t="shared" si="1"/>
        <v>0</v>
      </c>
      <c r="O17" s="163">
        <f>4000*0.1</f>
        <v>400</v>
      </c>
      <c r="P17" s="179">
        <f t="shared" si="2"/>
        <v>400</v>
      </c>
      <c r="Q17" s="209">
        <f t="shared" si="4"/>
        <v>540</v>
      </c>
      <c r="R17" s="163"/>
      <c r="S17" s="157">
        <v>1</v>
      </c>
      <c r="T17" s="157"/>
      <c r="U17" s="157">
        <v>1</v>
      </c>
      <c r="V17" s="157"/>
    </row>
    <row r="18" spans="1:22" s="139" customFormat="1" ht="60" customHeight="1" x14ac:dyDescent="0.3">
      <c r="A18" s="28">
        <f t="shared" si="0"/>
        <v>5</v>
      </c>
      <c r="B18" s="220" t="s">
        <v>389</v>
      </c>
      <c r="C18" s="221"/>
      <c r="D18" s="32" t="s">
        <v>252</v>
      </c>
      <c r="E18" s="37">
        <v>30</v>
      </c>
      <c r="F18" s="94">
        <v>750</v>
      </c>
      <c r="G18" s="42">
        <f t="shared" si="3"/>
        <v>22500</v>
      </c>
      <c r="H18" s="28"/>
      <c r="I18" s="7"/>
      <c r="J18" s="214">
        <f t="shared" ref="J18:J49" si="5">E18*L18/S18</f>
        <v>2.25</v>
      </c>
      <c r="K18" s="28"/>
      <c r="L18" s="28">
        <v>75</v>
      </c>
      <c r="M18" s="28"/>
      <c r="N18" s="166">
        <f t="shared" si="1"/>
        <v>3000</v>
      </c>
      <c r="O18" s="163">
        <v>500</v>
      </c>
      <c r="P18" s="179">
        <f t="shared" si="2"/>
        <v>15000</v>
      </c>
      <c r="Q18" s="209">
        <f t="shared" si="4"/>
        <v>24300</v>
      </c>
      <c r="R18" s="163"/>
      <c r="S18" s="157">
        <v>1000</v>
      </c>
      <c r="T18" s="157">
        <v>1000</v>
      </c>
      <c r="U18" s="157">
        <v>1</v>
      </c>
      <c r="V18" s="157"/>
    </row>
    <row r="19" spans="1:22" s="139" customFormat="1" ht="60" customHeight="1" x14ac:dyDescent="0.3">
      <c r="A19" s="28">
        <f t="shared" si="0"/>
        <v>6</v>
      </c>
      <c r="B19" s="220" t="s">
        <v>559</v>
      </c>
      <c r="C19" s="221"/>
      <c r="D19" s="32" t="s">
        <v>252</v>
      </c>
      <c r="E19" s="37">
        <v>1</v>
      </c>
      <c r="F19" s="94">
        <v>4000</v>
      </c>
      <c r="G19" s="42">
        <f t="shared" si="3"/>
        <v>4000</v>
      </c>
      <c r="H19" s="28"/>
      <c r="I19" s="7"/>
      <c r="J19" s="214">
        <f t="shared" si="5"/>
        <v>0.4</v>
      </c>
      <c r="K19" s="28"/>
      <c r="L19" s="28">
        <v>12</v>
      </c>
      <c r="M19" s="28"/>
      <c r="N19" s="166">
        <f t="shared" si="1"/>
        <v>5100</v>
      </c>
      <c r="O19" s="163">
        <f>4000*0.25</f>
        <v>1000</v>
      </c>
      <c r="P19" s="179">
        <f t="shared" si="2"/>
        <v>1000</v>
      </c>
      <c r="Q19" s="209">
        <f t="shared" si="4"/>
        <v>8235</v>
      </c>
      <c r="R19" s="163"/>
      <c r="S19" s="164">
        <v>30</v>
      </c>
      <c r="T19" s="157">
        <v>5100</v>
      </c>
      <c r="U19" s="157">
        <v>1</v>
      </c>
      <c r="V19" s="157"/>
    </row>
    <row r="20" spans="1:22" s="139" customFormat="1" ht="60" customHeight="1" x14ac:dyDescent="0.3">
      <c r="A20" s="28">
        <f t="shared" si="0"/>
        <v>7</v>
      </c>
      <c r="B20" s="220" t="s">
        <v>675</v>
      </c>
      <c r="C20" s="221"/>
      <c r="D20" s="32" t="s">
        <v>252</v>
      </c>
      <c r="E20" s="37">
        <v>30</v>
      </c>
      <c r="F20" s="94">
        <v>2500</v>
      </c>
      <c r="G20" s="42">
        <f t="shared" si="3"/>
        <v>75000</v>
      </c>
      <c r="H20" s="28" t="s">
        <v>566</v>
      </c>
      <c r="I20" s="7"/>
      <c r="J20" s="214">
        <f t="shared" si="5"/>
        <v>3.6749999999999998</v>
      </c>
      <c r="K20" s="28"/>
      <c r="L20" s="28">
        <f>0.05*49</f>
        <v>2.4500000000000002</v>
      </c>
      <c r="M20" s="28"/>
      <c r="N20" s="166">
        <f t="shared" si="1"/>
        <v>36000</v>
      </c>
      <c r="O20" s="163">
        <v>600</v>
      </c>
      <c r="P20" s="179">
        <f t="shared" si="2"/>
        <v>18000</v>
      </c>
      <c r="Q20" s="209">
        <f t="shared" si="4"/>
        <v>72900</v>
      </c>
      <c r="R20" s="163"/>
      <c r="S20" s="160">
        <v>20</v>
      </c>
      <c r="T20" s="160">
        <f>20*450</f>
        <v>9000</v>
      </c>
      <c r="U20" s="157">
        <v>1</v>
      </c>
      <c r="V20" s="160"/>
    </row>
    <row r="21" spans="1:22" s="139" customFormat="1" ht="60" customHeight="1" x14ac:dyDescent="0.3">
      <c r="A21" s="28">
        <f t="shared" si="0"/>
        <v>8</v>
      </c>
      <c r="B21" s="220" t="s">
        <v>560</v>
      </c>
      <c r="C21" s="221"/>
      <c r="D21" s="32" t="s">
        <v>252</v>
      </c>
      <c r="E21" s="37">
        <v>30</v>
      </c>
      <c r="F21" s="94">
        <v>3000</v>
      </c>
      <c r="G21" s="42">
        <f t="shared" si="3"/>
        <v>90000</v>
      </c>
      <c r="H21" s="28" t="s">
        <v>566</v>
      </c>
      <c r="I21" s="7"/>
      <c r="J21" s="214">
        <f t="shared" si="5"/>
        <v>3.6749999999999998</v>
      </c>
      <c r="K21" s="28"/>
      <c r="L21" s="28">
        <f>0.05*49</f>
        <v>2.4500000000000002</v>
      </c>
      <c r="M21" s="28">
        <v>0.5</v>
      </c>
      <c r="N21" s="166">
        <f t="shared" si="1"/>
        <v>34800</v>
      </c>
      <c r="O21" s="163">
        <v>1000</v>
      </c>
      <c r="P21" s="179">
        <f t="shared" si="2"/>
        <v>30000</v>
      </c>
      <c r="Q21" s="209">
        <f t="shared" si="4"/>
        <v>87480</v>
      </c>
      <c r="R21" s="163"/>
      <c r="S21" s="160">
        <v>20</v>
      </c>
      <c r="T21" s="160">
        <f>315*S21</f>
        <v>6300</v>
      </c>
      <c r="U21" s="160">
        <v>20</v>
      </c>
      <c r="V21" s="160">
        <f>480*U21</f>
        <v>9600</v>
      </c>
    </row>
    <row r="22" spans="1:22" s="139" customFormat="1" ht="60" customHeight="1" x14ac:dyDescent="0.3">
      <c r="A22" s="28">
        <f t="shared" si="0"/>
        <v>9</v>
      </c>
      <c r="B22" s="220" t="s">
        <v>561</v>
      </c>
      <c r="C22" s="221"/>
      <c r="D22" s="28" t="s">
        <v>7</v>
      </c>
      <c r="E22" s="37">
        <v>30</v>
      </c>
      <c r="F22" s="94">
        <v>2500</v>
      </c>
      <c r="G22" s="42">
        <f>E22*F22</f>
        <v>75000</v>
      </c>
      <c r="H22" s="28" t="s">
        <v>566</v>
      </c>
      <c r="I22" s="7"/>
      <c r="J22" s="214">
        <f t="shared" si="5"/>
        <v>0.5</v>
      </c>
      <c r="K22" s="28"/>
      <c r="L22" s="28">
        <v>0.3</v>
      </c>
      <c r="M22" s="28">
        <v>0.3</v>
      </c>
      <c r="N22" s="166">
        <f t="shared" si="1"/>
        <v>15270</v>
      </c>
      <c r="O22" s="163"/>
      <c r="P22" s="179">
        <f t="shared" si="2"/>
        <v>0</v>
      </c>
      <c r="Q22" s="209">
        <f t="shared" si="4"/>
        <v>20614.5</v>
      </c>
      <c r="R22" s="163"/>
      <c r="S22" s="160">
        <v>18</v>
      </c>
      <c r="T22" s="160">
        <f>315*S22</f>
        <v>5670</v>
      </c>
      <c r="U22" s="160">
        <v>20</v>
      </c>
      <c r="V22" s="160">
        <f>480*U22</f>
        <v>9600</v>
      </c>
    </row>
    <row r="23" spans="1:22" s="139" customFormat="1" ht="60" customHeight="1" x14ac:dyDescent="0.3">
      <c r="A23" s="28">
        <f t="shared" si="0"/>
        <v>10</v>
      </c>
      <c r="B23" s="220" t="s">
        <v>580</v>
      </c>
      <c r="C23" s="221"/>
      <c r="D23" s="28" t="s">
        <v>7</v>
      </c>
      <c r="E23" s="37">
        <v>1</v>
      </c>
      <c r="F23" s="94">
        <v>2500</v>
      </c>
      <c r="G23" s="42">
        <f>E23*F23</f>
        <v>2500</v>
      </c>
      <c r="H23" s="28" t="s">
        <v>566</v>
      </c>
      <c r="I23" s="7"/>
      <c r="J23" s="214">
        <f t="shared" si="5"/>
        <v>2.5000000000000001E-2</v>
      </c>
      <c r="K23" s="28"/>
      <c r="L23" s="28">
        <v>0.5</v>
      </c>
      <c r="M23" s="28"/>
      <c r="N23" s="166">
        <f t="shared" si="1"/>
        <v>9600</v>
      </c>
      <c r="O23" s="163"/>
      <c r="P23" s="179">
        <f t="shared" si="2"/>
        <v>0</v>
      </c>
      <c r="Q23" s="209">
        <f t="shared" si="4"/>
        <v>12960</v>
      </c>
      <c r="R23" s="163"/>
      <c r="S23" s="160">
        <v>20</v>
      </c>
      <c r="T23" s="160">
        <f>480*S23</f>
        <v>9600</v>
      </c>
      <c r="U23" s="160">
        <v>1</v>
      </c>
      <c r="V23" s="160"/>
    </row>
    <row r="24" spans="1:22" s="139" customFormat="1" ht="60" customHeight="1" x14ac:dyDescent="0.3">
      <c r="A24" s="28">
        <f t="shared" si="0"/>
        <v>11</v>
      </c>
      <c r="B24" s="220" t="s">
        <v>676</v>
      </c>
      <c r="C24" s="221"/>
      <c r="D24" s="28" t="s">
        <v>3</v>
      </c>
      <c r="E24" s="37">
        <v>1</v>
      </c>
      <c r="F24" s="94">
        <v>1800</v>
      </c>
      <c r="G24" s="42">
        <f t="shared" si="3"/>
        <v>1800</v>
      </c>
      <c r="H24" s="28" t="s">
        <v>566</v>
      </c>
      <c r="I24" s="7"/>
      <c r="J24" s="214">
        <f t="shared" si="5"/>
        <v>1.4499999999999999E-2</v>
      </c>
      <c r="K24" s="28"/>
      <c r="L24" s="28">
        <v>0.14499999999999999</v>
      </c>
      <c r="M24" s="28"/>
      <c r="N24" s="166">
        <f t="shared" si="1"/>
        <v>4500</v>
      </c>
      <c r="O24" s="163"/>
      <c r="P24" s="179">
        <f t="shared" si="2"/>
        <v>0</v>
      </c>
      <c r="Q24" s="209">
        <f t="shared" si="4"/>
        <v>6075</v>
      </c>
      <c r="R24" s="163"/>
      <c r="S24" s="160">
        <v>10</v>
      </c>
      <c r="T24" s="160">
        <f>450*10</f>
        <v>4500</v>
      </c>
      <c r="U24" s="160">
        <v>1</v>
      </c>
      <c r="V24" s="160"/>
    </row>
    <row r="25" spans="1:22" s="139" customFormat="1" ht="60" customHeight="1" x14ac:dyDescent="0.3">
      <c r="A25" s="28">
        <f t="shared" si="0"/>
        <v>12</v>
      </c>
      <c r="B25" s="220" t="s">
        <v>390</v>
      </c>
      <c r="C25" s="221"/>
      <c r="D25" s="28" t="s">
        <v>5</v>
      </c>
      <c r="E25" s="37">
        <v>1</v>
      </c>
      <c r="F25" s="94">
        <v>390</v>
      </c>
      <c r="G25" s="42">
        <f t="shared" si="3"/>
        <v>390</v>
      </c>
      <c r="H25" s="28"/>
      <c r="I25" s="7"/>
      <c r="J25" s="214">
        <f t="shared" si="5"/>
        <v>0.2</v>
      </c>
      <c r="K25" s="28"/>
      <c r="L25" s="28">
        <v>150</v>
      </c>
      <c r="M25" s="28"/>
      <c r="N25" s="166">
        <f t="shared" si="1"/>
        <v>150</v>
      </c>
      <c r="O25" s="163"/>
      <c r="P25" s="179">
        <f t="shared" si="2"/>
        <v>0</v>
      </c>
      <c r="Q25" s="209">
        <f t="shared" si="4"/>
        <v>202.5</v>
      </c>
      <c r="R25" s="163"/>
      <c r="S25" s="157">
        <v>750</v>
      </c>
      <c r="T25" s="165">
        <v>150</v>
      </c>
      <c r="U25" s="160">
        <v>1</v>
      </c>
      <c r="V25" s="165"/>
    </row>
    <row r="26" spans="1:22" s="139" customFormat="1" ht="60" customHeight="1" x14ac:dyDescent="0.3">
      <c r="A26" s="28">
        <f t="shared" si="0"/>
        <v>13</v>
      </c>
      <c r="B26" s="220" t="s">
        <v>412</v>
      </c>
      <c r="C26" s="221"/>
      <c r="D26" s="28" t="s">
        <v>3</v>
      </c>
      <c r="E26" s="37">
        <v>1</v>
      </c>
      <c r="F26" s="94">
        <v>500</v>
      </c>
      <c r="G26" s="42">
        <f t="shared" si="3"/>
        <v>500</v>
      </c>
      <c r="H26" s="28"/>
      <c r="I26" s="7"/>
      <c r="J26" s="214">
        <f t="shared" si="5"/>
        <v>0</v>
      </c>
      <c r="K26" s="28"/>
      <c r="L26" s="28"/>
      <c r="M26" s="28"/>
      <c r="N26" s="166">
        <f t="shared" si="1"/>
        <v>0</v>
      </c>
      <c r="O26" s="163"/>
      <c r="P26" s="179">
        <f t="shared" si="2"/>
        <v>0</v>
      </c>
      <c r="Q26" s="209">
        <f t="shared" si="4"/>
        <v>0</v>
      </c>
      <c r="R26" s="163"/>
      <c r="S26" s="157">
        <v>600</v>
      </c>
      <c r="T26" s="157">
        <v>300</v>
      </c>
      <c r="U26" s="160">
        <v>1</v>
      </c>
      <c r="V26" s="157"/>
    </row>
    <row r="27" spans="1:22" s="139" customFormat="1" ht="60" customHeight="1" x14ac:dyDescent="0.3">
      <c r="A27" s="28">
        <f t="shared" si="0"/>
        <v>14</v>
      </c>
      <c r="B27" s="220" t="s">
        <v>391</v>
      </c>
      <c r="C27" s="221"/>
      <c r="D27" s="28" t="s">
        <v>3</v>
      </c>
      <c r="E27" s="37">
        <v>1</v>
      </c>
      <c r="F27" s="94">
        <v>380</v>
      </c>
      <c r="G27" s="42">
        <f t="shared" si="3"/>
        <v>380</v>
      </c>
      <c r="H27" s="28"/>
      <c r="I27" s="7"/>
      <c r="J27" s="214">
        <f t="shared" si="5"/>
        <v>0</v>
      </c>
      <c r="K27" s="28"/>
      <c r="L27" s="28"/>
      <c r="M27" s="28"/>
      <c r="N27" s="166">
        <f t="shared" si="1"/>
        <v>0</v>
      </c>
      <c r="O27" s="163"/>
      <c r="P27" s="179">
        <f t="shared" si="2"/>
        <v>0</v>
      </c>
      <c r="Q27" s="209">
        <f t="shared" si="4"/>
        <v>0</v>
      </c>
      <c r="R27" s="163"/>
      <c r="S27" s="157">
        <v>600</v>
      </c>
      <c r="T27" s="157">
        <v>340</v>
      </c>
      <c r="U27" s="160">
        <v>1</v>
      </c>
      <c r="V27" s="157"/>
    </row>
    <row r="28" spans="1:22" s="139" customFormat="1" ht="60" customHeight="1" x14ac:dyDescent="0.3">
      <c r="A28" s="28">
        <f t="shared" si="0"/>
        <v>15</v>
      </c>
      <c r="B28" s="220" t="s">
        <v>392</v>
      </c>
      <c r="C28" s="221"/>
      <c r="D28" s="28" t="s">
        <v>3</v>
      </c>
      <c r="E28" s="37">
        <v>1</v>
      </c>
      <c r="F28" s="94">
        <v>350</v>
      </c>
      <c r="G28" s="42">
        <f t="shared" si="3"/>
        <v>350</v>
      </c>
      <c r="H28" s="28"/>
      <c r="I28" s="7"/>
      <c r="J28" s="214">
        <f t="shared" si="5"/>
        <v>0</v>
      </c>
      <c r="K28" s="28"/>
      <c r="L28" s="28"/>
      <c r="M28" s="28"/>
      <c r="N28" s="166">
        <f t="shared" si="1"/>
        <v>0</v>
      </c>
      <c r="O28" s="163"/>
      <c r="P28" s="179">
        <f t="shared" si="2"/>
        <v>0</v>
      </c>
      <c r="Q28" s="209">
        <f t="shared" si="4"/>
        <v>0</v>
      </c>
      <c r="R28" s="163"/>
      <c r="S28" s="157">
        <v>600</v>
      </c>
      <c r="T28" s="157">
        <v>280</v>
      </c>
      <c r="U28" s="160">
        <v>1</v>
      </c>
      <c r="V28" s="157"/>
    </row>
    <row r="29" spans="1:22" s="139" customFormat="1" ht="60" customHeight="1" x14ac:dyDescent="0.3">
      <c r="A29" s="28">
        <f t="shared" si="0"/>
        <v>16</v>
      </c>
      <c r="B29" s="220" t="s">
        <v>393</v>
      </c>
      <c r="C29" s="221"/>
      <c r="D29" s="28" t="s">
        <v>4</v>
      </c>
      <c r="E29" s="37">
        <v>1</v>
      </c>
      <c r="F29" s="94">
        <v>15000</v>
      </c>
      <c r="G29" s="42">
        <f t="shared" si="3"/>
        <v>15000</v>
      </c>
      <c r="H29" s="28"/>
      <c r="I29" s="7"/>
      <c r="J29" s="214" t="e">
        <f t="shared" si="5"/>
        <v>#DIV/0!</v>
      </c>
      <c r="K29" s="28"/>
      <c r="L29" s="28"/>
      <c r="M29" s="28"/>
      <c r="N29" s="166" t="e">
        <f t="shared" si="1"/>
        <v>#DIV/0!</v>
      </c>
      <c r="O29" s="163"/>
      <c r="P29" s="179">
        <f t="shared" si="2"/>
        <v>0</v>
      </c>
      <c r="Q29" s="209" t="e">
        <f t="shared" si="4"/>
        <v>#DIV/0!</v>
      </c>
      <c r="R29" s="163"/>
      <c r="S29" s="157"/>
      <c r="T29" s="157"/>
      <c r="U29" s="157"/>
      <c r="V29" s="157"/>
    </row>
    <row r="30" spans="1:22" s="139" customFormat="1" ht="60" customHeight="1" x14ac:dyDescent="0.3">
      <c r="A30" s="28">
        <f t="shared" si="0"/>
        <v>17</v>
      </c>
      <c r="B30" s="220" t="s">
        <v>394</v>
      </c>
      <c r="C30" s="221"/>
      <c r="D30" s="28" t="s">
        <v>3</v>
      </c>
      <c r="E30" s="37">
        <v>1</v>
      </c>
      <c r="F30" s="94">
        <v>250</v>
      </c>
      <c r="G30" s="42">
        <f t="shared" si="3"/>
        <v>250</v>
      </c>
      <c r="H30" s="28"/>
      <c r="I30" s="7"/>
      <c r="J30" s="214" t="e">
        <f t="shared" si="5"/>
        <v>#DIV/0!</v>
      </c>
      <c r="K30" s="28"/>
      <c r="L30" s="28"/>
      <c r="M30" s="28"/>
      <c r="N30" s="166" t="e">
        <f t="shared" si="1"/>
        <v>#DIV/0!</v>
      </c>
      <c r="O30" s="163"/>
      <c r="P30" s="179">
        <f t="shared" si="2"/>
        <v>0</v>
      </c>
      <c r="Q30" s="209" t="e">
        <f t="shared" si="4"/>
        <v>#DIV/0!</v>
      </c>
      <c r="R30" s="163"/>
      <c r="S30" s="157"/>
      <c r="T30" s="157"/>
      <c r="U30" s="157"/>
      <c r="V30" s="157"/>
    </row>
    <row r="31" spans="1:22" s="139" customFormat="1" ht="60" customHeight="1" x14ac:dyDescent="0.3">
      <c r="A31" s="28">
        <f t="shared" si="0"/>
        <v>18</v>
      </c>
      <c r="B31" s="220" t="s">
        <v>395</v>
      </c>
      <c r="C31" s="221"/>
      <c r="D31" s="32" t="s">
        <v>252</v>
      </c>
      <c r="E31" s="37">
        <v>1</v>
      </c>
      <c r="F31" s="94">
        <v>900</v>
      </c>
      <c r="G31" s="42">
        <f t="shared" si="3"/>
        <v>900</v>
      </c>
      <c r="H31" s="28"/>
      <c r="I31" s="7"/>
      <c r="J31" s="214">
        <f t="shared" si="5"/>
        <v>0</v>
      </c>
      <c r="K31" s="28"/>
      <c r="L31" s="28"/>
      <c r="M31" s="28"/>
      <c r="N31" s="166">
        <f t="shared" si="1"/>
        <v>0</v>
      </c>
      <c r="O31" s="163"/>
      <c r="P31" s="179">
        <f t="shared" si="2"/>
        <v>0</v>
      </c>
      <c r="Q31" s="209">
        <f t="shared" si="4"/>
        <v>0</v>
      </c>
      <c r="R31" s="163"/>
      <c r="S31" s="157">
        <v>30</v>
      </c>
      <c r="T31" s="157">
        <v>2850</v>
      </c>
      <c r="U31" s="157">
        <v>30</v>
      </c>
      <c r="V31" s="157">
        <v>2850</v>
      </c>
    </row>
    <row r="32" spans="1:22" s="139" customFormat="1" ht="60" customHeight="1" x14ac:dyDescent="0.3">
      <c r="A32" s="28">
        <f t="shared" si="0"/>
        <v>19</v>
      </c>
      <c r="B32" s="220" t="s">
        <v>228</v>
      </c>
      <c r="C32" s="221"/>
      <c r="D32" s="32" t="s">
        <v>252</v>
      </c>
      <c r="E32" s="37">
        <v>1</v>
      </c>
      <c r="F32" s="94">
        <v>1200</v>
      </c>
      <c r="G32" s="42">
        <f t="shared" si="3"/>
        <v>1200</v>
      </c>
      <c r="H32" s="28"/>
      <c r="I32" s="7"/>
      <c r="J32" s="214">
        <f t="shared" si="5"/>
        <v>0</v>
      </c>
      <c r="K32" s="28"/>
      <c r="L32" s="28"/>
      <c r="M32" s="28"/>
      <c r="N32" s="166">
        <f t="shared" si="1"/>
        <v>0</v>
      </c>
      <c r="O32" s="163"/>
      <c r="P32" s="179">
        <f t="shared" si="2"/>
        <v>0</v>
      </c>
      <c r="Q32" s="209">
        <f t="shared" si="4"/>
        <v>0</v>
      </c>
      <c r="R32" s="163"/>
      <c r="S32" s="157">
        <v>30</v>
      </c>
      <c r="T32" s="157">
        <v>2850</v>
      </c>
      <c r="U32" s="157">
        <v>30</v>
      </c>
      <c r="V32" s="157">
        <v>2850</v>
      </c>
    </row>
    <row r="33" spans="1:22" s="139" customFormat="1" ht="60" customHeight="1" x14ac:dyDescent="0.3">
      <c r="A33" s="28">
        <f t="shared" si="0"/>
        <v>20</v>
      </c>
      <c r="B33" s="220" t="s">
        <v>652</v>
      </c>
      <c r="C33" s="221"/>
      <c r="D33" s="32" t="s">
        <v>252</v>
      </c>
      <c r="E33" s="37">
        <v>50</v>
      </c>
      <c r="F33" s="94">
        <v>1100</v>
      </c>
      <c r="G33" s="42">
        <f t="shared" si="3"/>
        <v>55000</v>
      </c>
      <c r="H33" s="28"/>
      <c r="I33" s="7"/>
      <c r="J33" s="214">
        <f t="shared" si="5"/>
        <v>3.225806451612903</v>
      </c>
      <c r="K33" s="28"/>
      <c r="L33" s="28">
        <v>1</v>
      </c>
      <c r="M33" s="28"/>
      <c r="N33" s="166">
        <f t="shared" si="1"/>
        <v>24000</v>
      </c>
      <c r="O33" s="163">
        <v>300</v>
      </c>
      <c r="P33" s="179">
        <f t="shared" si="2"/>
        <v>15000</v>
      </c>
      <c r="Q33" s="209">
        <f t="shared" si="4"/>
        <v>52650</v>
      </c>
      <c r="R33" s="163"/>
      <c r="S33" s="160">
        <v>15.5</v>
      </c>
      <c r="T33" s="160">
        <v>6000</v>
      </c>
      <c r="U33" s="160">
        <v>15.5</v>
      </c>
      <c r="V33" s="160">
        <v>6000</v>
      </c>
    </row>
    <row r="34" spans="1:22" s="139" customFormat="1" ht="60" customHeight="1" x14ac:dyDescent="0.3">
      <c r="A34" s="28">
        <f t="shared" si="0"/>
        <v>21</v>
      </c>
      <c r="B34" s="220" t="s">
        <v>677</v>
      </c>
      <c r="C34" s="221"/>
      <c r="D34" s="32" t="s">
        <v>252</v>
      </c>
      <c r="E34" s="37">
        <v>50</v>
      </c>
      <c r="F34" s="94">
        <v>900</v>
      </c>
      <c r="G34" s="42">
        <f t="shared" ref="G34" si="6">E34*F34</f>
        <v>45000</v>
      </c>
      <c r="H34" s="28"/>
      <c r="I34" s="7"/>
      <c r="J34" s="214">
        <f t="shared" si="5"/>
        <v>2.6666666666666665</v>
      </c>
      <c r="K34" s="28"/>
      <c r="L34" s="28">
        <v>1.6</v>
      </c>
      <c r="M34" s="28"/>
      <c r="N34" s="166">
        <f t="shared" si="1"/>
        <v>18000</v>
      </c>
      <c r="O34" s="163">
        <v>300</v>
      </c>
      <c r="P34" s="179">
        <f t="shared" si="2"/>
        <v>15000</v>
      </c>
      <c r="Q34" s="209">
        <f t="shared" si="4"/>
        <v>44550</v>
      </c>
      <c r="R34" s="163"/>
      <c r="S34" s="160">
        <v>30</v>
      </c>
      <c r="T34" s="160">
        <v>6000</v>
      </c>
      <c r="U34" s="160">
        <v>30</v>
      </c>
      <c r="V34" s="160">
        <v>6000</v>
      </c>
    </row>
    <row r="35" spans="1:22" s="139" customFormat="1" ht="60" customHeight="1" x14ac:dyDescent="0.3">
      <c r="A35" s="28">
        <f t="shared" si="0"/>
        <v>22</v>
      </c>
      <c r="B35" s="220" t="s">
        <v>413</v>
      </c>
      <c r="C35" s="221"/>
      <c r="D35" s="32" t="s">
        <v>252</v>
      </c>
      <c r="E35" s="37">
        <v>50</v>
      </c>
      <c r="F35" s="94">
        <v>700</v>
      </c>
      <c r="G35" s="42">
        <f t="shared" si="3"/>
        <v>35000</v>
      </c>
      <c r="H35" s="28"/>
      <c r="I35" s="7"/>
      <c r="J35" s="214">
        <f t="shared" si="5"/>
        <v>3</v>
      </c>
      <c r="K35" s="28"/>
      <c r="L35" s="28">
        <v>1.2</v>
      </c>
      <c r="M35" s="28"/>
      <c r="N35" s="166">
        <f t="shared" si="1"/>
        <v>10200</v>
      </c>
      <c r="O35" s="163">
        <v>300</v>
      </c>
      <c r="P35" s="179">
        <f t="shared" si="2"/>
        <v>15000</v>
      </c>
      <c r="Q35" s="209">
        <f t="shared" si="4"/>
        <v>34020</v>
      </c>
      <c r="R35" s="163"/>
      <c r="S35" s="157">
        <v>20</v>
      </c>
      <c r="T35" s="157">
        <v>3400</v>
      </c>
      <c r="U35" s="157">
        <v>20</v>
      </c>
      <c r="V35" s="157">
        <v>3400</v>
      </c>
    </row>
    <row r="36" spans="1:22" s="139" customFormat="1" ht="60" customHeight="1" x14ac:dyDescent="0.3">
      <c r="A36" s="28">
        <f t="shared" si="0"/>
        <v>23</v>
      </c>
      <c r="B36" s="220" t="s">
        <v>396</v>
      </c>
      <c r="C36" s="221"/>
      <c r="D36" s="32" t="s">
        <v>252</v>
      </c>
      <c r="E36" s="37">
        <v>1</v>
      </c>
      <c r="F36" s="94">
        <v>300</v>
      </c>
      <c r="G36" s="42">
        <f t="shared" si="3"/>
        <v>300</v>
      </c>
      <c r="H36" s="28"/>
      <c r="I36" s="7"/>
      <c r="J36" s="214">
        <f t="shared" si="5"/>
        <v>0.01</v>
      </c>
      <c r="K36" s="28"/>
      <c r="L36" s="28">
        <v>1</v>
      </c>
      <c r="M36" s="28"/>
      <c r="N36" s="166">
        <f t="shared" si="1"/>
        <v>5000</v>
      </c>
      <c r="O36" s="163"/>
      <c r="P36" s="179">
        <f t="shared" si="2"/>
        <v>0</v>
      </c>
      <c r="Q36" s="209">
        <f t="shared" si="4"/>
        <v>6750</v>
      </c>
      <c r="R36" s="163"/>
      <c r="S36" s="160">
        <v>100</v>
      </c>
      <c r="T36" s="160">
        <v>5000</v>
      </c>
      <c r="U36" s="160">
        <v>100</v>
      </c>
      <c r="V36" s="160">
        <v>5000</v>
      </c>
    </row>
    <row r="37" spans="1:22" s="139" customFormat="1" ht="60" customHeight="1" x14ac:dyDescent="0.3">
      <c r="A37" s="28">
        <f t="shared" si="0"/>
        <v>24</v>
      </c>
      <c r="B37" s="220" t="s">
        <v>232</v>
      </c>
      <c r="C37" s="221"/>
      <c r="D37" s="28" t="s">
        <v>13</v>
      </c>
      <c r="E37" s="37">
        <v>1</v>
      </c>
      <c r="F37" s="94">
        <v>100</v>
      </c>
      <c r="G37" s="42">
        <f t="shared" si="3"/>
        <v>100</v>
      </c>
      <c r="H37" s="28"/>
      <c r="I37" s="7"/>
      <c r="J37" s="214">
        <f t="shared" si="5"/>
        <v>0</v>
      </c>
      <c r="K37" s="28"/>
      <c r="L37" s="28"/>
      <c r="M37" s="28"/>
      <c r="N37" s="166">
        <f t="shared" si="1"/>
        <v>0</v>
      </c>
      <c r="O37" s="163"/>
      <c r="P37" s="179">
        <f t="shared" si="2"/>
        <v>0</v>
      </c>
      <c r="Q37" s="209">
        <f t="shared" si="4"/>
        <v>0</v>
      </c>
      <c r="R37" s="163"/>
      <c r="S37" s="157">
        <v>1476</v>
      </c>
      <c r="T37" s="157">
        <v>6000</v>
      </c>
      <c r="U37" s="157">
        <v>1476</v>
      </c>
      <c r="V37" s="157">
        <v>6000</v>
      </c>
    </row>
    <row r="38" spans="1:22" s="139" customFormat="1" ht="60" customHeight="1" x14ac:dyDescent="0.3">
      <c r="A38" s="28">
        <f t="shared" si="0"/>
        <v>25</v>
      </c>
      <c r="B38" s="220" t="s">
        <v>233</v>
      </c>
      <c r="C38" s="221"/>
      <c r="D38" s="28" t="s">
        <v>7</v>
      </c>
      <c r="E38" s="37">
        <v>1</v>
      </c>
      <c r="F38" s="94">
        <v>300</v>
      </c>
      <c r="G38" s="42">
        <f>E38*F38</f>
        <v>300</v>
      </c>
      <c r="H38" s="28"/>
      <c r="I38" s="7"/>
      <c r="J38" s="214">
        <f t="shared" si="5"/>
        <v>6.6666666666666666E-2</v>
      </c>
      <c r="K38" s="28"/>
      <c r="L38" s="28">
        <v>1</v>
      </c>
      <c r="M38" s="28"/>
      <c r="N38" s="166">
        <f t="shared" si="1"/>
        <v>1000</v>
      </c>
      <c r="O38" s="163"/>
      <c r="P38" s="179">
        <f t="shared" si="2"/>
        <v>0</v>
      </c>
      <c r="Q38" s="209">
        <f t="shared" si="4"/>
        <v>1350</v>
      </c>
      <c r="R38" s="163"/>
      <c r="S38" s="160">
        <v>15</v>
      </c>
      <c r="T38" s="160">
        <v>1000</v>
      </c>
      <c r="U38" s="160">
        <v>15</v>
      </c>
      <c r="V38" s="160">
        <v>1000</v>
      </c>
    </row>
    <row r="39" spans="1:22" s="139" customFormat="1" ht="60" customHeight="1" x14ac:dyDescent="0.3">
      <c r="A39" s="28">
        <f t="shared" si="0"/>
        <v>26</v>
      </c>
      <c r="B39" s="220" t="s">
        <v>414</v>
      </c>
      <c r="C39" s="221"/>
      <c r="D39" s="32" t="s">
        <v>252</v>
      </c>
      <c r="E39" s="37">
        <v>1</v>
      </c>
      <c r="F39" s="94">
        <v>800</v>
      </c>
      <c r="G39" s="42">
        <f t="shared" si="3"/>
        <v>800</v>
      </c>
      <c r="H39" s="28"/>
      <c r="I39" s="7"/>
      <c r="J39" s="214">
        <f t="shared" si="5"/>
        <v>0.125</v>
      </c>
      <c r="K39" s="28"/>
      <c r="L39" s="28">
        <v>2.5</v>
      </c>
      <c r="M39" s="28"/>
      <c r="N39" s="166">
        <f t="shared" si="1"/>
        <v>1200</v>
      </c>
      <c r="O39" s="163"/>
      <c r="P39" s="179">
        <f t="shared" si="2"/>
        <v>0</v>
      </c>
      <c r="Q39" s="209">
        <f t="shared" si="4"/>
        <v>1620</v>
      </c>
      <c r="R39" s="163"/>
      <c r="S39" s="157">
        <v>20</v>
      </c>
      <c r="T39" s="157">
        <v>1200</v>
      </c>
      <c r="U39" s="157">
        <v>20</v>
      </c>
      <c r="V39" s="157">
        <v>1200</v>
      </c>
    </row>
    <row r="40" spans="1:22" s="139" customFormat="1" ht="60" customHeight="1" x14ac:dyDescent="0.3">
      <c r="A40" s="28">
        <f t="shared" si="0"/>
        <v>27</v>
      </c>
      <c r="B40" s="220" t="s">
        <v>563</v>
      </c>
      <c r="C40" s="221"/>
      <c r="D40" s="32" t="s">
        <v>252</v>
      </c>
      <c r="E40" s="37">
        <v>1</v>
      </c>
      <c r="F40" s="94">
        <v>900</v>
      </c>
      <c r="G40" s="42">
        <f t="shared" si="3"/>
        <v>900</v>
      </c>
      <c r="H40" s="28"/>
      <c r="I40" s="7"/>
      <c r="J40" s="214">
        <f t="shared" si="5"/>
        <v>0.125</v>
      </c>
      <c r="K40" s="28"/>
      <c r="L40" s="28">
        <v>2.5</v>
      </c>
      <c r="M40" s="28"/>
      <c r="N40" s="166">
        <f t="shared" si="1"/>
        <v>1600</v>
      </c>
      <c r="O40" s="163"/>
      <c r="P40" s="179">
        <f t="shared" si="2"/>
        <v>0</v>
      </c>
      <c r="Q40" s="209">
        <f t="shared" si="4"/>
        <v>2160</v>
      </c>
      <c r="R40" s="163"/>
      <c r="S40" s="157">
        <v>20</v>
      </c>
      <c r="T40" s="157">
        <v>1600</v>
      </c>
      <c r="U40" s="157">
        <v>20</v>
      </c>
      <c r="V40" s="157">
        <v>1600</v>
      </c>
    </row>
    <row r="41" spans="1:22" s="139" customFormat="1" ht="60" customHeight="1" x14ac:dyDescent="0.3">
      <c r="A41" s="28">
        <f t="shared" si="0"/>
        <v>28</v>
      </c>
      <c r="B41" s="220" t="s">
        <v>234</v>
      </c>
      <c r="C41" s="221"/>
      <c r="D41" s="32" t="s">
        <v>252</v>
      </c>
      <c r="E41" s="37">
        <v>1</v>
      </c>
      <c r="F41" s="94">
        <v>850</v>
      </c>
      <c r="G41" s="42">
        <f t="shared" si="3"/>
        <v>850</v>
      </c>
      <c r="H41" s="28"/>
      <c r="I41" s="7"/>
      <c r="J41" s="214" t="e">
        <f t="shared" si="5"/>
        <v>#VALUE!</v>
      </c>
      <c r="K41" s="28"/>
      <c r="L41" s="28"/>
      <c r="M41" s="28"/>
      <c r="N41" s="166" t="e">
        <f t="shared" si="1"/>
        <v>#VALUE!</v>
      </c>
      <c r="O41" s="163"/>
      <c r="P41" s="179">
        <f t="shared" si="2"/>
        <v>0</v>
      </c>
      <c r="Q41" s="209" t="e">
        <f t="shared" si="4"/>
        <v>#VALUE!</v>
      </c>
      <c r="R41" s="163"/>
      <c r="S41" s="160" t="s">
        <v>471</v>
      </c>
      <c r="T41" s="160" t="s">
        <v>531</v>
      </c>
      <c r="U41" s="160" t="s">
        <v>471</v>
      </c>
      <c r="V41" s="160" t="s">
        <v>531</v>
      </c>
    </row>
    <row r="42" spans="1:22" s="144" customFormat="1" ht="60" customHeight="1" x14ac:dyDescent="0.3">
      <c r="A42" s="28">
        <f t="shared" si="0"/>
        <v>29</v>
      </c>
      <c r="B42" s="236" t="s">
        <v>669</v>
      </c>
      <c r="C42" s="237"/>
      <c r="D42" s="32" t="s">
        <v>252</v>
      </c>
      <c r="E42" s="37">
        <v>1</v>
      </c>
      <c r="F42" s="146">
        <v>700</v>
      </c>
      <c r="G42" s="147">
        <f t="shared" si="3"/>
        <v>700</v>
      </c>
      <c r="H42" s="32"/>
      <c r="I42" s="148"/>
      <c r="J42" s="214">
        <f t="shared" si="5"/>
        <v>0.03</v>
      </c>
      <c r="K42" s="32"/>
      <c r="L42" s="32">
        <v>0.6</v>
      </c>
      <c r="M42" s="32"/>
      <c r="N42" s="166">
        <f t="shared" si="1"/>
        <v>7000</v>
      </c>
      <c r="O42" s="167"/>
      <c r="P42" s="179">
        <f t="shared" si="2"/>
        <v>0</v>
      </c>
      <c r="Q42" s="209">
        <f t="shared" si="4"/>
        <v>9450</v>
      </c>
      <c r="R42" s="167"/>
      <c r="S42" s="157">
        <v>20</v>
      </c>
      <c r="T42" s="168">
        <v>7000</v>
      </c>
      <c r="U42" s="157">
        <v>20</v>
      </c>
      <c r="V42" s="168"/>
    </row>
    <row r="43" spans="1:22" s="144" customFormat="1" ht="60" customHeight="1" x14ac:dyDescent="0.3">
      <c r="A43" s="28">
        <f t="shared" si="0"/>
        <v>30</v>
      </c>
      <c r="B43" s="236" t="s">
        <v>415</v>
      </c>
      <c r="C43" s="237"/>
      <c r="D43" s="32" t="s">
        <v>252</v>
      </c>
      <c r="E43" s="37">
        <v>1</v>
      </c>
      <c r="F43" s="146">
        <v>1500</v>
      </c>
      <c r="G43" s="147">
        <f t="shared" si="3"/>
        <v>1500</v>
      </c>
      <c r="H43" s="32"/>
      <c r="I43" s="148"/>
      <c r="J43" s="214">
        <f t="shared" si="5"/>
        <v>0.17499999999999999</v>
      </c>
      <c r="K43" s="32"/>
      <c r="L43" s="32">
        <v>3.5</v>
      </c>
      <c r="M43" s="32"/>
      <c r="N43" s="166">
        <f t="shared" si="1"/>
        <v>1800</v>
      </c>
      <c r="O43" s="167"/>
      <c r="P43" s="179">
        <f t="shared" si="2"/>
        <v>0</v>
      </c>
      <c r="Q43" s="209">
        <f t="shared" si="4"/>
        <v>2430</v>
      </c>
      <c r="R43" s="167"/>
      <c r="S43" s="157">
        <v>20</v>
      </c>
      <c r="T43" s="168">
        <v>1800</v>
      </c>
      <c r="U43" s="157">
        <v>20</v>
      </c>
      <c r="V43" s="168">
        <v>1800</v>
      </c>
    </row>
    <row r="44" spans="1:22" s="144" customFormat="1" ht="60" customHeight="1" x14ac:dyDescent="0.3">
      <c r="A44" s="28">
        <f t="shared" si="0"/>
        <v>31</v>
      </c>
      <c r="B44" s="220" t="s">
        <v>416</v>
      </c>
      <c r="C44" s="221"/>
      <c r="D44" s="32" t="s">
        <v>252</v>
      </c>
      <c r="E44" s="37">
        <v>1</v>
      </c>
      <c r="F44" s="146">
        <v>2000</v>
      </c>
      <c r="G44" s="147">
        <f>E44*F44</f>
        <v>2000</v>
      </c>
      <c r="H44" s="32"/>
      <c r="I44" s="148"/>
      <c r="J44" s="214">
        <f t="shared" si="5"/>
        <v>0.11904761904761904</v>
      </c>
      <c r="K44" s="32"/>
      <c r="L44" s="32">
        <v>2.5</v>
      </c>
      <c r="M44" s="32"/>
      <c r="N44" s="166">
        <f t="shared" si="1"/>
        <v>5000</v>
      </c>
      <c r="O44" s="167"/>
      <c r="P44" s="179">
        <f t="shared" si="2"/>
        <v>0</v>
      </c>
      <c r="Q44" s="209">
        <f t="shared" si="4"/>
        <v>6750</v>
      </c>
      <c r="R44" s="167"/>
      <c r="S44" s="157">
        <v>21</v>
      </c>
      <c r="T44" s="168">
        <v>5000</v>
      </c>
      <c r="U44" s="157">
        <v>21</v>
      </c>
      <c r="V44" s="168">
        <v>5000</v>
      </c>
    </row>
    <row r="45" spans="1:22" s="139" customFormat="1" ht="60" customHeight="1" x14ac:dyDescent="0.3">
      <c r="A45" s="28">
        <f t="shared" si="0"/>
        <v>32</v>
      </c>
      <c r="B45" s="220" t="s">
        <v>668</v>
      </c>
      <c r="C45" s="221"/>
      <c r="D45" s="28" t="s">
        <v>7</v>
      </c>
      <c r="E45" s="37">
        <v>1</v>
      </c>
      <c r="F45" s="94">
        <v>1000</v>
      </c>
      <c r="G45" s="42">
        <f>E45*F45</f>
        <v>1000</v>
      </c>
      <c r="H45" s="28" t="s">
        <v>566</v>
      </c>
      <c r="I45" s="7"/>
      <c r="J45" s="214">
        <f t="shared" si="5"/>
        <v>1.6666666666666666E-2</v>
      </c>
      <c r="K45" s="28"/>
      <c r="L45" s="28">
        <v>0.3</v>
      </c>
      <c r="M45" s="28">
        <v>0.3</v>
      </c>
      <c r="N45" s="166">
        <f t="shared" si="1"/>
        <v>15270</v>
      </c>
      <c r="O45" s="163"/>
      <c r="P45" s="179">
        <f t="shared" si="2"/>
        <v>0</v>
      </c>
      <c r="Q45" s="209">
        <f t="shared" si="4"/>
        <v>20614.5</v>
      </c>
      <c r="R45" s="163"/>
      <c r="S45" s="160">
        <v>18</v>
      </c>
      <c r="T45" s="160">
        <f>315*S45</f>
        <v>5670</v>
      </c>
      <c r="U45" s="160">
        <v>20</v>
      </c>
      <c r="V45" s="160">
        <f>480*U45</f>
        <v>9600</v>
      </c>
    </row>
    <row r="46" spans="1:22" s="139" customFormat="1" ht="60" customHeight="1" x14ac:dyDescent="0.3">
      <c r="A46" s="28">
        <f t="shared" si="0"/>
        <v>33</v>
      </c>
      <c r="B46" s="220" t="s">
        <v>417</v>
      </c>
      <c r="C46" s="221"/>
      <c r="D46" s="32" t="s">
        <v>252</v>
      </c>
      <c r="E46" s="37">
        <v>1</v>
      </c>
      <c r="F46" s="94">
        <v>1800</v>
      </c>
      <c r="G46" s="42">
        <f t="shared" si="3"/>
        <v>1800</v>
      </c>
      <c r="H46" s="28"/>
      <c r="I46" s="7"/>
      <c r="J46" s="214">
        <f t="shared" si="5"/>
        <v>0.10416666666666667</v>
      </c>
      <c r="K46" s="28"/>
      <c r="L46" s="28">
        <v>2.5</v>
      </c>
      <c r="M46" s="28"/>
      <c r="N46" s="166">
        <f t="shared" ref="N46:N77" si="7">ROUNDUP(E46*L46/S46,0)*T46+ROUNDUP(E46*M46/U46,0)*V46</f>
        <v>3800</v>
      </c>
      <c r="O46" s="163"/>
      <c r="P46" s="179">
        <f t="shared" si="2"/>
        <v>0</v>
      </c>
      <c r="Q46" s="209">
        <f t="shared" si="4"/>
        <v>5130</v>
      </c>
      <c r="R46" s="163"/>
      <c r="S46" s="157">
        <v>24</v>
      </c>
      <c r="T46" s="157">
        <v>3800</v>
      </c>
      <c r="U46" s="157">
        <v>24</v>
      </c>
      <c r="V46" s="157">
        <v>3800</v>
      </c>
    </row>
    <row r="47" spans="1:22" s="144" customFormat="1" ht="60" customHeight="1" x14ac:dyDescent="0.3">
      <c r="A47" s="28">
        <f t="shared" si="0"/>
        <v>34</v>
      </c>
      <c r="B47" s="236" t="s">
        <v>418</v>
      </c>
      <c r="C47" s="237"/>
      <c r="D47" s="32" t="s">
        <v>252</v>
      </c>
      <c r="E47" s="37">
        <v>1</v>
      </c>
      <c r="F47" s="146">
        <v>3000</v>
      </c>
      <c r="G47" s="147">
        <f t="shared" si="3"/>
        <v>3000</v>
      </c>
      <c r="H47" s="32"/>
      <c r="I47" s="148"/>
      <c r="J47" s="214" t="e">
        <f t="shared" si="5"/>
        <v>#VALUE!</v>
      </c>
      <c r="K47" s="169">
        <f>L47*4/20*4500</f>
        <v>3600</v>
      </c>
      <c r="L47" s="169">
        <v>4</v>
      </c>
      <c r="M47" s="169"/>
      <c r="N47" s="166" t="e">
        <f t="shared" si="7"/>
        <v>#VALUE!</v>
      </c>
      <c r="O47" s="167"/>
      <c r="P47" s="179">
        <f t="shared" si="2"/>
        <v>0</v>
      </c>
      <c r="Q47" s="209" t="e">
        <f t="shared" si="4"/>
        <v>#VALUE!</v>
      </c>
      <c r="R47" s="167"/>
      <c r="S47" s="160" t="s">
        <v>532</v>
      </c>
      <c r="T47" s="160" t="s">
        <v>474</v>
      </c>
      <c r="U47" s="160" t="s">
        <v>532</v>
      </c>
      <c r="V47" s="160" t="s">
        <v>474</v>
      </c>
    </row>
    <row r="48" spans="1:22" s="139" customFormat="1" ht="60" customHeight="1" x14ac:dyDescent="0.3">
      <c r="A48" s="28">
        <f t="shared" si="0"/>
        <v>35</v>
      </c>
      <c r="B48" s="220" t="s">
        <v>419</v>
      </c>
      <c r="C48" s="221"/>
      <c r="D48" s="32" t="s">
        <v>252</v>
      </c>
      <c r="E48" s="37">
        <v>1</v>
      </c>
      <c r="F48" s="94">
        <v>600</v>
      </c>
      <c r="G48" s="42">
        <f>E48*F48</f>
        <v>600</v>
      </c>
      <c r="H48" s="28"/>
      <c r="I48" s="7"/>
      <c r="J48" s="214">
        <f t="shared" si="5"/>
        <v>2.5000000000000001E-2</v>
      </c>
      <c r="K48" s="28"/>
      <c r="L48" s="28">
        <v>0.4</v>
      </c>
      <c r="M48" s="28">
        <v>0.4</v>
      </c>
      <c r="N48" s="166">
        <f t="shared" si="7"/>
        <v>11000</v>
      </c>
      <c r="O48" s="163"/>
      <c r="P48" s="179">
        <f t="shared" si="2"/>
        <v>0</v>
      </c>
      <c r="Q48" s="209">
        <f t="shared" si="4"/>
        <v>14850.000000000002</v>
      </c>
      <c r="R48" s="163"/>
      <c r="S48" s="168">
        <v>16</v>
      </c>
      <c r="T48" s="157">
        <v>5500</v>
      </c>
      <c r="U48" s="168">
        <v>16</v>
      </c>
      <c r="V48" s="157">
        <v>5500</v>
      </c>
    </row>
    <row r="49" spans="1:22" s="139" customFormat="1" ht="60" customHeight="1" x14ac:dyDescent="0.3">
      <c r="A49" s="28">
        <f t="shared" si="0"/>
        <v>36</v>
      </c>
      <c r="B49" s="231" t="s">
        <v>573</v>
      </c>
      <c r="C49" s="232"/>
      <c r="D49" s="28" t="s">
        <v>252</v>
      </c>
      <c r="E49" s="37">
        <v>1</v>
      </c>
      <c r="F49" s="94">
        <v>1500</v>
      </c>
      <c r="G49" s="42">
        <v>0</v>
      </c>
      <c r="H49" s="157"/>
      <c r="I49" s="143"/>
      <c r="J49" s="214" t="e">
        <f t="shared" si="5"/>
        <v>#VALUE!</v>
      </c>
      <c r="K49" s="157">
        <f>500</f>
        <v>500</v>
      </c>
      <c r="L49" s="157">
        <v>2</v>
      </c>
      <c r="M49" s="157"/>
      <c r="N49" s="166" t="e">
        <f t="shared" si="7"/>
        <v>#VALUE!</v>
      </c>
      <c r="O49" s="163"/>
      <c r="P49" s="179">
        <f t="shared" si="2"/>
        <v>0</v>
      </c>
      <c r="Q49" s="209" t="e">
        <f t="shared" si="4"/>
        <v>#VALUE!</v>
      </c>
      <c r="R49" s="163"/>
      <c r="S49" s="160" t="s">
        <v>538</v>
      </c>
      <c r="T49" s="160" t="s">
        <v>539</v>
      </c>
      <c r="U49" s="160" t="s">
        <v>538</v>
      </c>
      <c r="V49" s="160" t="s">
        <v>539</v>
      </c>
    </row>
    <row r="50" spans="1:22" s="139" customFormat="1" ht="60" customHeight="1" x14ac:dyDescent="0.3">
      <c r="A50" s="28">
        <f t="shared" si="0"/>
        <v>37</v>
      </c>
      <c r="B50" s="220" t="s">
        <v>420</v>
      </c>
      <c r="C50" s="221"/>
      <c r="D50" s="32" t="s">
        <v>252</v>
      </c>
      <c r="E50" s="37">
        <v>1</v>
      </c>
      <c r="F50" s="94">
        <v>1000</v>
      </c>
      <c r="G50" s="42">
        <f t="shared" si="3"/>
        <v>1000</v>
      </c>
      <c r="H50" s="28"/>
      <c r="I50" s="7"/>
      <c r="J50" s="214">
        <f t="shared" ref="J50:J73" si="8">E50*L50/S50</f>
        <v>5.8823529411764705E-2</v>
      </c>
      <c r="K50" s="28"/>
      <c r="L50" s="28">
        <v>2</v>
      </c>
      <c r="M50" s="28">
        <v>2</v>
      </c>
      <c r="N50" s="166">
        <f t="shared" si="7"/>
        <v>7600</v>
      </c>
      <c r="O50" s="163"/>
      <c r="P50" s="179">
        <f t="shared" si="2"/>
        <v>0</v>
      </c>
      <c r="Q50" s="209"/>
      <c r="R50" s="163"/>
      <c r="S50" s="160">
        <v>34</v>
      </c>
      <c r="T50" s="157">
        <v>3800</v>
      </c>
      <c r="U50" s="160">
        <v>34</v>
      </c>
      <c r="V50" s="157">
        <v>3800</v>
      </c>
    </row>
    <row r="51" spans="1:22" s="139" customFormat="1" ht="60" customHeight="1" x14ac:dyDescent="0.3">
      <c r="A51" s="28">
        <f t="shared" si="0"/>
        <v>38</v>
      </c>
      <c r="B51" s="220" t="s">
        <v>421</v>
      </c>
      <c r="C51" s="221"/>
      <c r="D51" s="32" t="s">
        <v>252</v>
      </c>
      <c r="E51" s="37">
        <v>1</v>
      </c>
      <c r="F51" s="94">
        <v>1500</v>
      </c>
      <c r="G51" s="42">
        <f>E51*F51</f>
        <v>1500</v>
      </c>
      <c r="H51" s="28"/>
      <c r="I51" s="7"/>
      <c r="J51" s="214" t="e">
        <f t="shared" si="8"/>
        <v>#VALUE!</v>
      </c>
      <c r="K51" s="28"/>
      <c r="L51" s="28">
        <v>3.6</v>
      </c>
      <c r="M51" s="28">
        <v>3.6</v>
      </c>
      <c r="N51" s="166" t="e">
        <f t="shared" si="7"/>
        <v>#VALUE!</v>
      </c>
      <c r="O51" s="163"/>
      <c r="P51" s="179">
        <f t="shared" si="2"/>
        <v>0</v>
      </c>
      <c r="Q51" s="209"/>
      <c r="R51" s="163"/>
      <c r="S51" s="160" t="s">
        <v>527</v>
      </c>
      <c r="T51" s="160" t="s">
        <v>528</v>
      </c>
      <c r="U51" s="160" t="s">
        <v>527</v>
      </c>
      <c r="V51" s="160" t="s">
        <v>528</v>
      </c>
    </row>
    <row r="52" spans="1:22" s="139" customFormat="1" ht="60" customHeight="1" x14ac:dyDescent="0.3">
      <c r="A52" s="28">
        <f t="shared" si="0"/>
        <v>39</v>
      </c>
      <c r="B52" s="220" t="s">
        <v>422</v>
      </c>
      <c r="C52" s="221"/>
      <c r="D52" s="32" t="s">
        <v>252</v>
      </c>
      <c r="E52" s="37">
        <v>1</v>
      </c>
      <c r="F52" s="94">
        <v>2000</v>
      </c>
      <c r="G52" s="42">
        <f t="shared" si="3"/>
        <v>2000</v>
      </c>
      <c r="H52" s="28"/>
      <c r="I52" s="7"/>
      <c r="J52" s="214" t="e">
        <f t="shared" si="8"/>
        <v>#VALUE!</v>
      </c>
      <c r="K52" s="28"/>
      <c r="L52" s="28">
        <v>3.6</v>
      </c>
      <c r="M52" s="28"/>
      <c r="N52" s="166" t="e">
        <f t="shared" si="7"/>
        <v>#VALUE!</v>
      </c>
      <c r="O52" s="163"/>
      <c r="P52" s="179">
        <f t="shared" si="2"/>
        <v>0</v>
      </c>
      <c r="Q52" s="209"/>
      <c r="R52" s="163"/>
      <c r="S52" s="160" t="s">
        <v>529</v>
      </c>
      <c r="T52" s="160" t="s">
        <v>530</v>
      </c>
      <c r="U52" s="160" t="s">
        <v>529</v>
      </c>
      <c r="V52" s="160" t="s">
        <v>530</v>
      </c>
    </row>
    <row r="53" spans="1:22" s="139" customFormat="1" ht="60" customHeight="1" x14ac:dyDescent="0.3">
      <c r="A53" s="28">
        <f t="shared" si="0"/>
        <v>40</v>
      </c>
      <c r="B53" s="220" t="s">
        <v>423</v>
      </c>
      <c r="C53" s="221"/>
      <c r="D53" s="32" t="s">
        <v>252</v>
      </c>
      <c r="E53" s="37">
        <v>1</v>
      </c>
      <c r="F53" s="94">
        <v>1000</v>
      </c>
      <c r="G53" s="42">
        <f t="shared" si="3"/>
        <v>1000</v>
      </c>
      <c r="H53" s="28"/>
      <c r="I53" s="7"/>
      <c r="J53" s="214">
        <f t="shared" si="8"/>
        <v>0.08</v>
      </c>
      <c r="K53" s="28"/>
      <c r="L53" s="28">
        <v>2</v>
      </c>
      <c r="M53" s="28"/>
      <c r="N53" s="166">
        <f t="shared" si="7"/>
        <v>2700</v>
      </c>
      <c r="O53" s="163"/>
      <c r="P53" s="179">
        <f t="shared" si="2"/>
        <v>0</v>
      </c>
      <c r="Q53" s="209"/>
      <c r="R53" s="163"/>
      <c r="S53" s="168">
        <v>25</v>
      </c>
      <c r="T53" s="157">
        <v>2700</v>
      </c>
      <c r="U53" s="168">
        <v>25</v>
      </c>
      <c r="V53" s="157">
        <v>2700</v>
      </c>
    </row>
    <row r="54" spans="1:22" s="139" customFormat="1" ht="60" customHeight="1" x14ac:dyDescent="0.3">
      <c r="A54" s="28">
        <f t="shared" si="0"/>
        <v>41</v>
      </c>
      <c r="B54" s="220" t="s">
        <v>564</v>
      </c>
      <c r="C54" s="221"/>
      <c r="D54" s="32" t="s">
        <v>252</v>
      </c>
      <c r="E54" s="37">
        <v>1</v>
      </c>
      <c r="F54" s="94">
        <v>1200</v>
      </c>
      <c r="G54" s="42">
        <f t="shared" si="3"/>
        <v>1200</v>
      </c>
      <c r="H54" s="28"/>
      <c r="I54" s="7">
        <v>0.5</v>
      </c>
      <c r="J54" s="214">
        <f t="shared" si="8"/>
        <v>2.5000000000000001E-2</v>
      </c>
      <c r="K54" s="28"/>
      <c r="L54" s="28">
        <v>0.25</v>
      </c>
      <c r="M54" s="28">
        <v>0.25</v>
      </c>
      <c r="N54" s="166">
        <f t="shared" si="7"/>
        <v>8260</v>
      </c>
      <c r="O54" s="163"/>
      <c r="P54" s="179">
        <f>4000</f>
        <v>4000</v>
      </c>
      <c r="Q54" s="211">
        <f>(K54+(N54+P54))*$R$12</f>
        <v>16551</v>
      </c>
      <c r="R54" s="163"/>
      <c r="S54" s="168">
        <v>10</v>
      </c>
      <c r="T54" s="157">
        <v>4130</v>
      </c>
      <c r="U54" s="168">
        <v>10</v>
      </c>
      <c r="V54" s="157">
        <v>4130</v>
      </c>
    </row>
    <row r="55" spans="1:22" s="139" customFormat="1" ht="60" customHeight="1" x14ac:dyDescent="0.3">
      <c r="A55" s="28">
        <f t="shared" si="0"/>
        <v>42</v>
      </c>
      <c r="B55" s="220" t="s">
        <v>570</v>
      </c>
      <c r="C55" s="221"/>
      <c r="D55" s="28" t="s">
        <v>252</v>
      </c>
      <c r="E55" s="37">
        <f>E52</f>
        <v>1</v>
      </c>
      <c r="F55" s="94">
        <v>100</v>
      </c>
      <c r="G55" s="42">
        <f>E55*F55</f>
        <v>100</v>
      </c>
      <c r="H55" s="28"/>
      <c r="I55" s="7"/>
      <c r="J55" s="214" t="e">
        <f t="shared" si="8"/>
        <v>#DIV/0!</v>
      </c>
      <c r="K55" s="28"/>
      <c r="L55" s="28">
        <v>0.8</v>
      </c>
      <c r="M55" s="28"/>
      <c r="N55" s="166" t="e">
        <f t="shared" si="7"/>
        <v>#DIV/0!</v>
      </c>
      <c r="O55" s="163"/>
      <c r="P55" s="179">
        <f>E55*O55</f>
        <v>0</v>
      </c>
      <c r="Q55" s="210" t="e">
        <f>(K55+(N55+P55))*$R$12</f>
        <v>#DIV/0!</v>
      </c>
      <c r="R55" s="163"/>
      <c r="S55" s="157"/>
      <c r="T55" s="157"/>
      <c r="U55" s="157"/>
      <c r="V55" s="157"/>
    </row>
    <row r="56" spans="1:22" s="139" customFormat="1" ht="60" customHeight="1" x14ac:dyDescent="0.3">
      <c r="A56" s="28">
        <f t="shared" si="0"/>
        <v>43</v>
      </c>
      <c r="B56" s="220" t="s">
        <v>565</v>
      </c>
      <c r="C56" s="221"/>
      <c r="D56" s="32" t="s">
        <v>252</v>
      </c>
      <c r="E56" s="37">
        <v>1</v>
      </c>
      <c r="F56" s="94">
        <v>2000</v>
      </c>
      <c r="G56" s="42">
        <f t="shared" si="3"/>
        <v>2000</v>
      </c>
      <c r="H56" s="28"/>
      <c r="I56" s="7">
        <v>1.5</v>
      </c>
      <c r="J56" s="214">
        <f t="shared" si="8"/>
        <v>0.12</v>
      </c>
      <c r="K56" s="28"/>
      <c r="L56" s="28">
        <v>3</v>
      </c>
      <c r="M56" s="28">
        <v>3</v>
      </c>
      <c r="N56" s="166">
        <f t="shared" si="7"/>
        <v>3800</v>
      </c>
      <c r="O56" s="163"/>
      <c r="P56" s="179">
        <f>4000*2</f>
        <v>8000</v>
      </c>
      <c r="Q56" s="211">
        <f>(K56+(N56+P56))*$R$12</f>
        <v>15930.000000000002</v>
      </c>
      <c r="R56" s="163"/>
      <c r="S56" s="157">
        <v>25</v>
      </c>
      <c r="T56" s="157">
        <v>1900</v>
      </c>
      <c r="U56" s="157">
        <v>25</v>
      </c>
      <c r="V56" s="157">
        <v>1900</v>
      </c>
    </row>
    <row r="57" spans="1:22" s="139" customFormat="1" ht="60" customHeight="1" x14ac:dyDescent="0.3">
      <c r="A57" s="28">
        <f t="shared" si="0"/>
        <v>44</v>
      </c>
      <c r="B57" s="220" t="s">
        <v>397</v>
      </c>
      <c r="C57" s="221"/>
      <c r="D57" s="32" t="s">
        <v>252</v>
      </c>
      <c r="E57" s="37">
        <v>1</v>
      </c>
      <c r="F57" s="94">
        <v>1000</v>
      </c>
      <c r="G57" s="42">
        <f t="shared" si="3"/>
        <v>1000</v>
      </c>
      <c r="H57" s="28" t="s">
        <v>566</v>
      </c>
      <c r="I57" s="7"/>
      <c r="J57" s="214" t="e">
        <f t="shared" si="8"/>
        <v>#DIV/0!</v>
      </c>
      <c r="K57" s="28"/>
      <c r="L57" s="28"/>
      <c r="M57" s="28"/>
      <c r="N57" s="166" t="e">
        <f t="shared" si="7"/>
        <v>#DIV/0!</v>
      </c>
      <c r="O57" s="163"/>
      <c r="P57" s="179">
        <f t="shared" ref="P57:P91" si="9">E57*O57</f>
        <v>0</v>
      </c>
      <c r="Q57" s="209"/>
      <c r="R57" s="163"/>
      <c r="S57" s="157"/>
      <c r="T57" s="157"/>
      <c r="U57" s="157"/>
      <c r="V57" s="157"/>
    </row>
    <row r="58" spans="1:22" s="139" customFormat="1" ht="60" customHeight="1" x14ac:dyDescent="0.3">
      <c r="A58" s="28">
        <f t="shared" si="0"/>
        <v>45</v>
      </c>
      <c r="B58" s="220" t="s">
        <v>571</v>
      </c>
      <c r="C58" s="221"/>
      <c r="D58" s="28" t="s">
        <v>3</v>
      </c>
      <c r="E58" s="37">
        <v>1</v>
      </c>
      <c r="F58" s="94">
        <v>600</v>
      </c>
      <c r="G58" s="42">
        <f t="shared" si="3"/>
        <v>600</v>
      </c>
      <c r="H58" s="28"/>
      <c r="I58" s="7"/>
      <c r="J58" s="214">
        <f t="shared" si="8"/>
        <v>0.24166666666666667</v>
      </c>
      <c r="K58" s="28"/>
      <c r="L58" s="28">
        <v>145</v>
      </c>
      <c r="M58" s="28">
        <v>145</v>
      </c>
      <c r="N58" s="166">
        <f t="shared" si="7"/>
        <v>800</v>
      </c>
      <c r="O58" s="163"/>
      <c r="P58" s="179">
        <f t="shared" si="9"/>
        <v>0</v>
      </c>
      <c r="Q58" s="210"/>
      <c r="R58" s="163"/>
      <c r="S58" s="157">
        <v>600</v>
      </c>
      <c r="T58" s="157">
        <v>400</v>
      </c>
      <c r="U58" s="157">
        <v>600</v>
      </c>
      <c r="V58" s="157">
        <v>400</v>
      </c>
    </row>
    <row r="59" spans="1:22" s="139" customFormat="1" ht="60" customHeight="1" x14ac:dyDescent="0.3">
      <c r="A59" s="28">
        <f t="shared" si="0"/>
        <v>46</v>
      </c>
      <c r="B59" s="231" t="s">
        <v>572</v>
      </c>
      <c r="C59" s="232"/>
      <c r="D59" s="28" t="s">
        <v>252</v>
      </c>
      <c r="E59" s="37">
        <f>E53</f>
        <v>1</v>
      </c>
      <c r="F59" s="94">
        <v>1800</v>
      </c>
      <c r="G59" s="42">
        <f t="shared" si="3"/>
        <v>1800</v>
      </c>
      <c r="H59" s="157"/>
      <c r="I59" s="143"/>
      <c r="J59" s="214">
        <f t="shared" si="8"/>
        <v>0.125</v>
      </c>
      <c r="K59" s="157">
        <f>500</f>
        <v>500</v>
      </c>
      <c r="L59" s="157">
        <v>2.5</v>
      </c>
      <c r="M59" s="157">
        <v>2.5</v>
      </c>
      <c r="N59" s="166">
        <f t="shared" si="7"/>
        <v>9000</v>
      </c>
      <c r="O59" s="163">
        <v>800</v>
      </c>
      <c r="P59" s="179">
        <f t="shared" si="9"/>
        <v>800</v>
      </c>
      <c r="Q59" s="210">
        <f>(K59+(N59+P59))*$R$12</f>
        <v>13905.000000000002</v>
      </c>
      <c r="R59" s="163"/>
      <c r="S59" s="160">
        <v>20</v>
      </c>
      <c r="T59" s="160">
        <v>4500</v>
      </c>
      <c r="U59" s="160">
        <v>20</v>
      </c>
      <c r="V59" s="160">
        <v>4500</v>
      </c>
    </row>
    <row r="60" spans="1:22" s="139" customFormat="1" ht="60" customHeight="1" x14ac:dyDescent="0.3">
      <c r="A60" s="28">
        <f t="shared" si="0"/>
        <v>47</v>
      </c>
      <c r="B60" s="220" t="s">
        <v>398</v>
      </c>
      <c r="C60" s="221"/>
      <c r="D60" s="32" t="s">
        <v>252</v>
      </c>
      <c r="E60" s="37">
        <v>1</v>
      </c>
      <c r="F60" s="94">
        <v>220</v>
      </c>
      <c r="G60" s="42">
        <f t="shared" si="3"/>
        <v>220</v>
      </c>
      <c r="H60" s="28"/>
      <c r="I60" s="7"/>
      <c r="J60" s="214" t="e">
        <f t="shared" si="8"/>
        <v>#DIV/0!</v>
      </c>
      <c r="K60" s="28"/>
      <c r="L60" s="28"/>
      <c r="M60" s="28"/>
      <c r="N60" s="166" t="e">
        <f t="shared" si="7"/>
        <v>#DIV/0!</v>
      </c>
      <c r="O60" s="163"/>
      <c r="P60" s="179">
        <f t="shared" si="9"/>
        <v>0</v>
      </c>
      <c r="Q60" s="209"/>
      <c r="R60" s="163"/>
      <c r="S60" s="157"/>
      <c r="T60" s="157"/>
      <c r="U60" s="157"/>
      <c r="V60" s="157"/>
    </row>
    <row r="61" spans="1:22" s="139" customFormat="1" ht="60" customHeight="1" x14ac:dyDescent="0.3">
      <c r="A61" s="28">
        <f t="shared" si="0"/>
        <v>48</v>
      </c>
      <c r="B61" s="220" t="s">
        <v>399</v>
      </c>
      <c r="C61" s="221"/>
      <c r="D61" s="28" t="s">
        <v>7</v>
      </c>
      <c r="E61" s="37">
        <v>1</v>
      </c>
      <c r="F61" s="94">
        <v>200</v>
      </c>
      <c r="G61" s="42">
        <f t="shared" si="3"/>
        <v>200</v>
      </c>
      <c r="H61" s="28"/>
      <c r="I61" s="7"/>
      <c r="J61" s="214" t="e">
        <f t="shared" si="8"/>
        <v>#DIV/0!</v>
      </c>
      <c r="K61" s="28"/>
      <c r="L61" s="28"/>
      <c r="M61" s="28"/>
      <c r="N61" s="166" t="e">
        <f t="shared" si="7"/>
        <v>#DIV/0!</v>
      </c>
      <c r="O61" s="163"/>
      <c r="P61" s="179">
        <f t="shared" si="9"/>
        <v>0</v>
      </c>
      <c r="Q61" s="209"/>
      <c r="R61" s="163"/>
      <c r="S61" s="157"/>
      <c r="T61" s="157"/>
      <c r="U61" s="157"/>
      <c r="V61" s="157"/>
    </row>
    <row r="62" spans="1:22" s="139" customFormat="1" ht="60" customHeight="1" x14ac:dyDescent="0.3">
      <c r="A62" s="28">
        <f t="shared" si="0"/>
        <v>49</v>
      </c>
      <c r="B62" s="220" t="s">
        <v>717</v>
      </c>
      <c r="C62" s="221"/>
      <c r="D62" s="32" t="s">
        <v>252</v>
      </c>
      <c r="E62" s="37">
        <v>1</v>
      </c>
      <c r="F62" s="94">
        <v>1000</v>
      </c>
      <c r="G62" s="42">
        <f t="shared" si="3"/>
        <v>1000</v>
      </c>
      <c r="H62" s="28"/>
      <c r="I62" s="7"/>
      <c r="J62" s="214" t="e">
        <f t="shared" si="8"/>
        <v>#DIV/0!</v>
      </c>
      <c r="K62" s="28"/>
      <c r="L62" s="28"/>
      <c r="M62" s="28"/>
      <c r="N62" s="166" t="e">
        <f t="shared" si="7"/>
        <v>#DIV/0!</v>
      </c>
      <c r="O62" s="163"/>
      <c r="P62" s="179">
        <f t="shared" si="9"/>
        <v>0</v>
      </c>
      <c r="Q62" s="209"/>
      <c r="R62" s="163"/>
      <c r="S62" s="157"/>
      <c r="T62" s="157"/>
      <c r="U62" s="157"/>
      <c r="V62" s="157"/>
    </row>
    <row r="63" spans="1:22" s="139" customFormat="1" ht="60" customHeight="1" x14ac:dyDescent="0.3">
      <c r="A63" s="28">
        <f t="shared" si="0"/>
        <v>50</v>
      </c>
      <c r="B63" s="220" t="s">
        <v>400</v>
      </c>
      <c r="C63" s="221"/>
      <c r="D63" s="32" t="s">
        <v>252</v>
      </c>
      <c r="E63" s="37">
        <v>1</v>
      </c>
      <c r="F63" s="94">
        <v>120</v>
      </c>
      <c r="G63" s="42">
        <f t="shared" si="3"/>
        <v>120</v>
      </c>
      <c r="H63" s="28"/>
      <c r="I63" s="7"/>
      <c r="J63" s="214" t="e">
        <f t="shared" si="8"/>
        <v>#DIV/0!</v>
      </c>
      <c r="K63" s="28"/>
      <c r="L63" s="28"/>
      <c r="M63" s="28"/>
      <c r="N63" s="166" t="e">
        <f t="shared" si="7"/>
        <v>#DIV/0!</v>
      </c>
      <c r="O63" s="163"/>
      <c r="P63" s="179">
        <f t="shared" si="9"/>
        <v>0</v>
      </c>
      <c r="Q63" s="209"/>
      <c r="R63" s="163"/>
      <c r="S63" s="157"/>
      <c r="T63" s="157"/>
      <c r="U63" s="157"/>
      <c r="V63" s="157"/>
    </row>
    <row r="64" spans="1:22" s="139" customFormat="1" ht="60" customHeight="1" x14ac:dyDescent="0.3">
      <c r="A64" s="28">
        <f t="shared" si="0"/>
        <v>51</v>
      </c>
      <c r="B64" s="220" t="s">
        <v>401</v>
      </c>
      <c r="C64" s="221"/>
      <c r="D64" s="28" t="s">
        <v>7</v>
      </c>
      <c r="E64" s="37">
        <v>1</v>
      </c>
      <c r="F64" s="94">
        <v>120</v>
      </c>
      <c r="G64" s="42">
        <f t="shared" si="3"/>
        <v>120</v>
      </c>
      <c r="H64" s="28"/>
      <c r="I64" s="7"/>
      <c r="J64" s="214" t="e">
        <f t="shared" si="8"/>
        <v>#DIV/0!</v>
      </c>
      <c r="K64" s="28"/>
      <c r="L64" s="28"/>
      <c r="M64" s="28"/>
      <c r="N64" s="166" t="e">
        <f t="shared" si="7"/>
        <v>#DIV/0!</v>
      </c>
      <c r="O64" s="163"/>
      <c r="P64" s="179">
        <f t="shared" si="9"/>
        <v>0</v>
      </c>
      <c r="Q64" s="209"/>
      <c r="R64" s="163"/>
      <c r="S64" s="157"/>
      <c r="T64" s="157"/>
      <c r="U64" s="157"/>
      <c r="V64" s="157"/>
    </row>
    <row r="65" spans="1:22" s="139" customFormat="1" ht="60" customHeight="1" x14ac:dyDescent="0.3">
      <c r="A65" s="28">
        <f t="shared" si="0"/>
        <v>52</v>
      </c>
      <c r="B65" s="220" t="s">
        <v>402</v>
      </c>
      <c r="C65" s="221"/>
      <c r="D65" s="28" t="s">
        <v>3</v>
      </c>
      <c r="E65" s="37">
        <v>1</v>
      </c>
      <c r="F65" s="94">
        <v>600</v>
      </c>
      <c r="G65" s="42">
        <f t="shared" si="3"/>
        <v>600</v>
      </c>
      <c r="H65" s="28"/>
      <c r="I65" s="7"/>
      <c r="J65" s="214">
        <f t="shared" si="8"/>
        <v>0.5</v>
      </c>
      <c r="K65" s="28"/>
      <c r="L65" s="28">
        <v>2.5</v>
      </c>
      <c r="M65" s="28"/>
      <c r="N65" s="166">
        <f t="shared" si="7"/>
        <v>316</v>
      </c>
      <c r="O65" s="163"/>
      <c r="P65" s="179">
        <f t="shared" si="9"/>
        <v>0</v>
      </c>
      <c r="Q65" s="209"/>
      <c r="R65" s="163"/>
      <c r="S65" s="157">
        <v>5</v>
      </c>
      <c r="T65" s="157">
        <v>316</v>
      </c>
      <c r="U65" s="157">
        <v>5</v>
      </c>
      <c r="V65" s="157">
        <v>316</v>
      </c>
    </row>
    <row r="66" spans="1:22" s="139" customFormat="1" ht="60" customHeight="1" x14ac:dyDescent="0.3">
      <c r="A66" s="28">
        <f t="shared" si="0"/>
        <v>53</v>
      </c>
      <c r="B66" s="220" t="s">
        <v>403</v>
      </c>
      <c r="C66" s="221"/>
      <c r="D66" s="28" t="s">
        <v>3</v>
      </c>
      <c r="E66" s="37">
        <v>1</v>
      </c>
      <c r="F66" s="94">
        <v>400</v>
      </c>
      <c r="G66" s="42">
        <f t="shared" si="3"/>
        <v>400</v>
      </c>
      <c r="H66" s="28"/>
      <c r="I66" s="7"/>
      <c r="J66" s="214">
        <f t="shared" si="8"/>
        <v>0.24166666666666667</v>
      </c>
      <c r="K66" s="28"/>
      <c r="L66" s="28">
        <v>145</v>
      </c>
      <c r="M66" s="28"/>
      <c r="N66" s="166">
        <f t="shared" si="7"/>
        <v>200</v>
      </c>
      <c r="O66" s="163"/>
      <c r="P66" s="179">
        <f t="shared" si="9"/>
        <v>0</v>
      </c>
      <c r="Q66" s="209"/>
      <c r="R66" s="163"/>
      <c r="S66" s="157">
        <v>600</v>
      </c>
      <c r="T66" s="157">
        <v>200</v>
      </c>
      <c r="U66" s="157">
        <v>600</v>
      </c>
      <c r="V66" s="157">
        <v>200</v>
      </c>
    </row>
    <row r="67" spans="1:22" s="139" customFormat="1" ht="60" customHeight="1" x14ac:dyDescent="0.3">
      <c r="A67" s="28">
        <f t="shared" si="0"/>
        <v>54</v>
      </c>
      <c r="B67" s="220" t="s">
        <v>404</v>
      </c>
      <c r="C67" s="221"/>
      <c r="D67" s="28" t="s">
        <v>5</v>
      </c>
      <c r="E67" s="37">
        <v>1</v>
      </c>
      <c r="F67" s="94">
        <v>10000</v>
      </c>
      <c r="G67" s="42">
        <f>E67*F67</f>
        <v>10000</v>
      </c>
      <c r="H67" s="28" t="s">
        <v>566</v>
      </c>
      <c r="I67" s="7"/>
      <c r="J67" s="214" t="e">
        <f t="shared" si="8"/>
        <v>#DIV/0!</v>
      </c>
      <c r="K67" s="28"/>
      <c r="L67" s="28"/>
      <c r="M67" s="28"/>
      <c r="N67" s="166" t="e">
        <f t="shared" si="7"/>
        <v>#DIV/0!</v>
      </c>
      <c r="O67" s="163"/>
      <c r="P67" s="179">
        <f t="shared" si="9"/>
        <v>0</v>
      </c>
      <c r="Q67" s="209"/>
      <c r="R67" s="163"/>
      <c r="S67" s="157"/>
      <c r="T67" s="157"/>
      <c r="U67" s="157"/>
      <c r="V67" s="157"/>
    </row>
    <row r="68" spans="1:22" s="139" customFormat="1" ht="60" customHeight="1" x14ac:dyDescent="0.3">
      <c r="A68" s="28">
        <f t="shared" si="0"/>
        <v>55</v>
      </c>
      <c r="B68" s="220" t="s">
        <v>405</v>
      </c>
      <c r="C68" s="221"/>
      <c r="D68" s="28" t="s">
        <v>5</v>
      </c>
      <c r="E68" s="37">
        <v>1</v>
      </c>
      <c r="F68" s="94">
        <v>1000</v>
      </c>
      <c r="G68" s="42">
        <f t="shared" si="3"/>
        <v>1000</v>
      </c>
      <c r="H68" s="28"/>
      <c r="I68" s="7"/>
      <c r="J68" s="214" t="e">
        <f t="shared" si="8"/>
        <v>#DIV/0!</v>
      </c>
      <c r="K68" s="28"/>
      <c r="L68" s="28"/>
      <c r="M68" s="28"/>
      <c r="N68" s="166" t="e">
        <f t="shared" si="7"/>
        <v>#DIV/0!</v>
      </c>
      <c r="O68" s="163"/>
      <c r="P68" s="179">
        <f t="shared" si="9"/>
        <v>0</v>
      </c>
      <c r="Q68" s="209"/>
      <c r="R68" s="163"/>
      <c r="S68" s="157"/>
      <c r="T68" s="157"/>
      <c r="U68" s="157"/>
      <c r="V68" s="157"/>
    </row>
    <row r="69" spans="1:22" s="139" customFormat="1" ht="60" customHeight="1" x14ac:dyDescent="0.3">
      <c r="A69" s="28">
        <f t="shared" si="0"/>
        <v>56</v>
      </c>
      <c r="B69" s="220" t="s">
        <v>406</v>
      </c>
      <c r="C69" s="221"/>
      <c r="D69" s="28" t="s">
        <v>5</v>
      </c>
      <c r="E69" s="37">
        <v>1</v>
      </c>
      <c r="F69" s="94">
        <v>1500</v>
      </c>
      <c r="G69" s="42">
        <f t="shared" si="3"/>
        <v>1500</v>
      </c>
      <c r="H69" s="28"/>
      <c r="I69" s="7"/>
      <c r="J69" s="214" t="e">
        <f t="shared" si="8"/>
        <v>#DIV/0!</v>
      </c>
      <c r="K69" s="28"/>
      <c r="L69" s="28"/>
      <c r="M69" s="28"/>
      <c r="N69" s="166" t="e">
        <f t="shared" si="7"/>
        <v>#DIV/0!</v>
      </c>
      <c r="O69" s="163"/>
      <c r="P69" s="179">
        <f t="shared" si="9"/>
        <v>0</v>
      </c>
      <c r="Q69" s="209"/>
      <c r="R69" s="163"/>
      <c r="S69" s="157"/>
      <c r="T69" s="157"/>
      <c r="U69" s="157"/>
      <c r="V69" s="157"/>
    </row>
    <row r="70" spans="1:22" s="139" customFormat="1" ht="60" customHeight="1" x14ac:dyDescent="0.3">
      <c r="A70" s="28">
        <f t="shared" si="0"/>
        <v>57</v>
      </c>
      <c r="B70" s="220" t="s">
        <v>407</v>
      </c>
      <c r="C70" s="221"/>
      <c r="D70" s="28" t="s">
        <v>5</v>
      </c>
      <c r="E70" s="37">
        <v>1</v>
      </c>
      <c r="F70" s="94">
        <v>1000</v>
      </c>
      <c r="G70" s="42">
        <f t="shared" si="3"/>
        <v>1000</v>
      </c>
      <c r="H70" s="28"/>
      <c r="I70" s="7"/>
      <c r="J70" s="214" t="e">
        <f t="shared" si="8"/>
        <v>#DIV/0!</v>
      </c>
      <c r="K70" s="28"/>
      <c r="L70" s="28"/>
      <c r="M70" s="28"/>
      <c r="N70" s="166" t="e">
        <f t="shared" si="7"/>
        <v>#DIV/0!</v>
      </c>
      <c r="O70" s="163"/>
      <c r="P70" s="179">
        <f t="shared" si="9"/>
        <v>0</v>
      </c>
      <c r="Q70" s="209"/>
      <c r="R70" s="163"/>
      <c r="S70" s="157"/>
      <c r="T70" s="157"/>
      <c r="U70" s="157"/>
      <c r="V70" s="157"/>
    </row>
    <row r="71" spans="1:22" s="139" customFormat="1" ht="60" customHeight="1" x14ac:dyDescent="0.3">
      <c r="A71" s="28">
        <f t="shared" si="0"/>
        <v>58</v>
      </c>
      <c r="B71" s="220" t="s">
        <v>244</v>
      </c>
      <c r="C71" s="221"/>
      <c r="D71" s="28" t="s">
        <v>3</v>
      </c>
      <c r="E71" s="37">
        <v>1</v>
      </c>
      <c r="F71" s="94">
        <v>100</v>
      </c>
      <c r="G71" s="42">
        <f t="shared" si="3"/>
        <v>100</v>
      </c>
      <c r="H71" s="28" t="s">
        <v>566</v>
      </c>
      <c r="I71" s="7"/>
      <c r="J71" s="214" t="e">
        <f t="shared" si="8"/>
        <v>#DIV/0!</v>
      </c>
      <c r="K71" s="28"/>
      <c r="L71" s="28"/>
      <c r="M71" s="28"/>
      <c r="N71" s="166" t="e">
        <f t="shared" si="7"/>
        <v>#DIV/0!</v>
      </c>
      <c r="O71" s="163"/>
      <c r="P71" s="179">
        <f t="shared" si="9"/>
        <v>0</v>
      </c>
      <c r="Q71" s="209"/>
      <c r="R71" s="163"/>
      <c r="S71" s="157"/>
      <c r="T71" s="157"/>
      <c r="U71" s="157"/>
      <c r="V71" s="157"/>
    </row>
    <row r="72" spans="1:22" s="139" customFormat="1" ht="60" customHeight="1" x14ac:dyDescent="0.3">
      <c r="A72" s="28">
        <f t="shared" si="0"/>
        <v>59</v>
      </c>
      <c r="B72" s="231" t="s">
        <v>69</v>
      </c>
      <c r="C72" s="232"/>
      <c r="D72" s="32" t="s">
        <v>252</v>
      </c>
      <c r="E72" s="37">
        <v>1</v>
      </c>
      <c r="F72" s="94">
        <v>500</v>
      </c>
      <c r="G72" s="42">
        <f t="shared" si="3"/>
        <v>500</v>
      </c>
      <c r="H72" s="28" t="s">
        <v>566</v>
      </c>
      <c r="I72" s="7"/>
      <c r="J72" s="214" t="e">
        <f t="shared" si="8"/>
        <v>#DIV/0!</v>
      </c>
      <c r="K72" s="28"/>
      <c r="L72" s="28"/>
      <c r="M72" s="28"/>
      <c r="N72" s="166" t="e">
        <f t="shared" si="7"/>
        <v>#DIV/0!</v>
      </c>
      <c r="O72" s="163"/>
      <c r="P72" s="179">
        <f t="shared" si="9"/>
        <v>0</v>
      </c>
      <c r="Q72" s="209"/>
      <c r="R72" s="163"/>
      <c r="S72" s="157"/>
      <c r="T72" s="157"/>
      <c r="U72" s="157"/>
      <c r="V72" s="157"/>
    </row>
    <row r="73" spans="1:22" s="139" customFormat="1" ht="60" customHeight="1" x14ac:dyDescent="0.3">
      <c r="A73" s="28">
        <f t="shared" si="0"/>
        <v>60</v>
      </c>
      <c r="B73" s="220" t="s">
        <v>245</v>
      </c>
      <c r="C73" s="221"/>
      <c r="D73" s="32" t="s">
        <v>252</v>
      </c>
      <c r="E73" s="37">
        <v>1</v>
      </c>
      <c r="F73" s="94">
        <v>2000</v>
      </c>
      <c r="G73" s="42">
        <f t="shared" si="3"/>
        <v>2000</v>
      </c>
      <c r="H73" s="28" t="s">
        <v>566</v>
      </c>
      <c r="I73" s="7"/>
      <c r="J73" s="214" t="e">
        <f t="shared" si="8"/>
        <v>#DIV/0!</v>
      </c>
      <c r="K73" s="28"/>
      <c r="L73" s="28"/>
      <c r="M73" s="28"/>
      <c r="N73" s="166" t="e">
        <f t="shared" si="7"/>
        <v>#DIV/0!</v>
      </c>
      <c r="O73" s="163"/>
      <c r="P73" s="179">
        <f t="shared" si="9"/>
        <v>0</v>
      </c>
      <c r="Q73" s="209"/>
      <c r="R73" s="163"/>
      <c r="S73" s="157"/>
      <c r="T73" s="157"/>
      <c r="U73" s="157"/>
      <c r="V73" s="157"/>
    </row>
    <row r="74" spans="1:22" s="139" customFormat="1" ht="60" customHeight="1" x14ac:dyDescent="0.3">
      <c r="A74" s="28">
        <f t="shared" si="0"/>
        <v>61</v>
      </c>
      <c r="B74" s="220" t="s">
        <v>667</v>
      </c>
      <c r="C74" s="232"/>
      <c r="D74" s="28" t="s">
        <v>4</v>
      </c>
      <c r="E74" s="37">
        <v>1</v>
      </c>
      <c r="F74" s="94">
        <v>15000</v>
      </c>
      <c r="G74" s="42">
        <f t="shared" ref="G74" si="10">E74*F74</f>
        <v>15000</v>
      </c>
      <c r="H74" s="28"/>
      <c r="I74" s="7"/>
      <c r="J74" s="28"/>
      <c r="K74" s="28"/>
      <c r="L74" s="28"/>
      <c r="M74" s="28"/>
      <c r="N74" s="166" t="e">
        <f t="shared" si="7"/>
        <v>#DIV/0!</v>
      </c>
      <c r="O74" s="163"/>
      <c r="P74" s="179">
        <f t="shared" si="9"/>
        <v>0</v>
      </c>
      <c r="Q74" s="209"/>
      <c r="R74" s="163"/>
      <c r="S74" s="157"/>
      <c r="T74" s="157"/>
      <c r="U74" s="157"/>
      <c r="V74" s="157"/>
    </row>
    <row r="75" spans="1:22" s="139" customFormat="1" ht="60" customHeight="1" x14ac:dyDescent="0.3">
      <c r="A75" s="28">
        <f t="shared" si="0"/>
        <v>62</v>
      </c>
      <c r="B75" s="231" t="s">
        <v>70</v>
      </c>
      <c r="C75" s="232"/>
      <c r="D75" s="28" t="s">
        <v>4</v>
      </c>
      <c r="E75" s="37">
        <v>1</v>
      </c>
      <c r="F75" s="94">
        <v>35000</v>
      </c>
      <c r="G75" s="42">
        <f t="shared" si="3"/>
        <v>35000</v>
      </c>
      <c r="H75" s="28"/>
      <c r="I75" s="7"/>
      <c r="J75" s="28"/>
      <c r="K75" s="28"/>
      <c r="L75" s="28"/>
      <c r="M75" s="28"/>
      <c r="N75" s="166" t="e">
        <f t="shared" si="7"/>
        <v>#DIV/0!</v>
      </c>
      <c r="O75" s="163"/>
      <c r="P75" s="179">
        <f t="shared" si="9"/>
        <v>0</v>
      </c>
      <c r="Q75" s="209"/>
      <c r="R75" s="163"/>
      <c r="S75" s="157"/>
      <c r="T75" s="157"/>
      <c r="U75" s="157"/>
      <c r="V75" s="157"/>
    </row>
    <row r="76" spans="1:22" s="139" customFormat="1" ht="60" customHeight="1" x14ac:dyDescent="0.3">
      <c r="A76" s="28">
        <f t="shared" ref="A76:A91" si="11">ROW()-13</f>
        <v>63</v>
      </c>
      <c r="B76" s="220" t="s">
        <v>246</v>
      </c>
      <c r="C76" s="221"/>
      <c r="D76" s="28" t="s">
        <v>4</v>
      </c>
      <c r="E76" s="37">
        <v>1</v>
      </c>
      <c r="F76" s="94">
        <v>65000</v>
      </c>
      <c r="G76" s="42">
        <f t="shared" si="3"/>
        <v>65000</v>
      </c>
      <c r="H76" s="28"/>
      <c r="I76" s="7"/>
      <c r="J76" s="28"/>
      <c r="K76" s="28"/>
      <c r="L76" s="28"/>
      <c r="M76" s="28"/>
      <c r="N76" s="166" t="e">
        <f t="shared" si="7"/>
        <v>#DIV/0!</v>
      </c>
      <c r="O76" s="163"/>
      <c r="P76" s="179">
        <f t="shared" si="9"/>
        <v>0</v>
      </c>
      <c r="Q76" s="209"/>
      <c r="R76" s="163"/>
      <c r="S76" s="157"/>
      <c r="T76" s="157"/>
      <c r="U76" s="157"/>
      <c r="V76" s="157"/>
    </row>
    <row r="77" spans="1:22" s="139" customFormat="1" ht="60" customHeight="1" x14ac:dyDescent="0.3">
      <c r="A77" s="28">
        <f t="shared" si="11"/>
        <v>64</v>
      </c>
      <c r="B77" s="220" t="s">
        <v>666</v>
      </c>
      <c r="C77" s="232"/>
      <c r="D77" s="149" t="s">
        <v>8</v>
      </c>
      <c r="E77" s="150">
        <v>1</v>
      </c>
      <c r="F77" s="151">
        <v>3000</v>
      </c>
      <c r="G77" s="42">
        <f t="shared" si="3"/>
        <v>3000</v>
      </c>
      <c r="H77" s="28"/>
      <c r="I77" s="7"/>
      <c r="J77" s="28"/>
      <c r="K77" s="28"/>
      <c r="L77" s="28"/>
      <c r="M77" s="28"/>
      <c r="N77" s="166">
        <f t="shared" si="7"/>
        <v>0</v>
      </c>
      <c r="O77" s="163"/>
      <c r="P77" s="179">
        <f t="shared" si="9"/>
        <v>0</v>
      </c>
      <c r="Q77" s="209">
        <f>(K77+(N77+P77))*$R$12</f>
        <v>0</v>
      </c>
      <c r="R77" s="163"/>
      <c r="S77" s="157">
        <v>30</v>
      </c>
      <c r="T77" s="157">
        <v>2850</v>
      </c>
      <c r="U77" s="157">
        <v>30</v>
      </c>
      <c r="V77" s="157">
        <v>2850</v>
      </c>
    </row>
    <row r="78" spans="1:22" s="139" customFormat="1" ht="60" customHeight="1" x14ac:dyDescent="0.3">
      <c r="A78" s="28">
        <f t="shared" si="11"/>
        <v>65</v>
      </c>
      <c r="B78" s="220" t="s">
        <v>247</v>
      </c>
      <c r="C78" s="221"/>
      <c r="D78" s="28" t="s">
        <v>4</v>
      </c>
      <c r="E78" s="37">
        <v>1</v>
      </c>
      <c r="F78" s="94">
        <v>4000</v>
      </c>
      <c r="G78" s="42">
        <f t="shared" si="3"/>
        <v>4000</v>
      </c>
      <c r="H78" s="28"/>
      <c r="I78" s="7"/>
      <c r="J78" s="28"/>
      <c r="K78" s="28"/>
      <c r="L78" s="28"/>
      <c r="M78" s="28"/>
      <c r="N78" s="166" t="e">
        <f t="shared" ref="N78:N88" si="12">ROUNDUP(E78*L78/S78,0)*T78+ROUNDUP(E78*M78/U78,0)*V78</f>
        <v>#DIV/0!</v>
      </c>
      <c r="O78" s="163"/>
      <c r="P78" s="179">
        <f t="shared" si="9"/>
        <v>0</v>
      </c>
      <c r="Q78" s="209"/>
      <c r="R78" s="163"/>
      <c r="S78" s="157"/>
      <c r="T78" s="157"/>
      <c r="U78" s="157"/>
      <c r="V78" s="157"/>
    </row>
    <row r="79" spans="1:22" s="139" customFormat="1" ht="60" customHeight="1" x14ac:dyDescent="0.3">
      <c r="A79" s="28">
        <f t="shared" si="11"/>
        <v>66</v>
      </c>
      <c r="B79" s="231" t="s">
        <v>71</v>
      </c>
      <c r="C79" s="232"/>
      <c r="D79" s="28" t="s">
        <v>2</v>
      </c>
      <c r="E79" s="37">
        <v>1</v>
      </c>
      <c r="F79" s="94">
        <v>200</v>
      </c>
      <c r="G79" s="42">
        <f t="shared" si="3"/>
        <v>200</v>
      </c>
      <c r="H79" s="28"/>
      <c r="I79" s="7"/>
      <c r="J79" s="28"/>
      <c r="K79" s="28"/>
      <c r="L79" s="28"/>
      <c r="M79" s="28"/>
      <c r="N79" s="166" t="e">
        <f t="shared" si="12"/>
        <v>#DIV/0!</v>
      </c>
      <c r="O79" s="163"/>
      <c r="P79" s="179">
        <f t="shared" si="9"/>
        <v>0</v>
      </c>
      <c r="Q79" s="209"/>
      <c r="R79" s="163"/>
      <c r="S79" s="157"/>
      <c r="T79" s="157"/>
      <c r="U79" s="157"/>
      <c r="V79" s="157"/>
    </row>
    <row r="80" spans="1:22" s="139" customFormat="1" ht="60" customHeight="1" x14ac:dyDescent="0.3">
      <c r="A80" s="28">
        <f t="shared" si="11"/>
        <v>67</v>
      </c>
      <c r="B80" s="220" t="s">
        <v>656</v>
      </c>
      <c r="C80" s="232"/>
      <c r="D80" s="32" t="s">
        <v>252</v>
      </c>
      <c r="E80" s="37">
        <f>E81</f>
        <v>1</v>
      </c>
      <c r="F80" s="94">
        <v>450</v>
      </c>
      <c r="G80" s="42">
        <f>E80*F80</f>
        <v>450</v>
      </c>
      <c r="H80" s="28"/>
      <c r="I80" s="7"/>
      <c r="J80" s="28"/>
      <c r="K80" s="28"/>
      <c r="L80" s="28"/>
      <c r="M80" s="28"/>
      <c r="N80" s="166" t="e">
        <f t="shared" si="12"/>
        <v>#DIV/0!</v>
      </c>
      <c r="O80" s="163"/>
      <c r="P80" s="179">
        <f t="shared" si="9"/>
        <v>0</v>
      </c>
      <c r="Q80" s="209"/>
      <c r="R80" s="163"/>
      <c r="S80" s="157"/>
      <c r="T80" s="157"/>
      <c r="U80" s="157"/>
      <c r="V80" s="157"/>
    </row>
    <row r="81" spans="1:22" s="139" customFormat="1" ht="60" customHeight="1" x14ac:dyDescent="0.3">
      <c r="A81" s="28">
        <f t="shared" si="11"/>
        <v>68</v>
      </c>
      <c r="B81" s="220" t="s">
        <v>716</v>
      </c>
      <c r="C81" s="221"/>
      <c r="D81" s="28" t="s">
        <v>4</v>
      </c>
      <c r="E81" s="37">
        <v>1</v>
      </c>
      <c r="F81" s="94">
        <v>18000</v>
      </c>
      <c r="G81" s="42">
        <f t="shared" si="3"/>
        <v>18000</v>
      </c>
      <c r="H81" s="28"/>
      <c r="I81" s="7"/>
      <c r="J81" s="28"/>
      <c r="K81" s="28"/>
      <c r="L81" s="28"/>
      <c r="M81" s="28"/>
      <c r="N81" s="166" t="e">
        <f t="shared" si="12"/>
        <v>#DIV/0!</v>
      </c>
      <c r="O81" s="163"/>
      <c r="P81" s="179">
        <f t="shared" si="9"/>
        <v>0</v>
      </c>
      <c r="Q81" s="209"/>
      <c r="R81" s="163"/>
      <c r="S81" s="157"/>
      <c r="T81" s="157"/>
      <c r="U81" s="157"/>
      <c r="V81" s="157"/>
    </row>
    <row r="82" spans="1:22" s="139" customFormat="1" ht="60" customHeight="1" x14ac:dyDescent="0.3">
      <c r="A82" s="28">
        <f t="shared" si="11"/>
        <v>69</v>
      </c>
      <c r="B82" s="220" t="s">
        <v>738</v>
      </c>
      <c r="C82" s="221"/>
      <c r="D82" s="28" t="s">
        <v>4</v>
      </c>
      <c r="E82" s="37">
        <v>1</v>
      </c>
      <c r="F82" s="94">
        <v>30000</v>
      </c>
      <c r="G82" s="42">
        <f t="shared" si="3"/>
        <v>30000</v>
      </c>
      <c r="H82" s="28"/>
      <c r="I82" s="7"/>
      <c r="J82" s="28"/>
      <c r="K82" s="28"/>
      <c r="L82" s="28"/>
      <c r="M82" s="28"/>
      <c r="N82" s="166" t="e">
        <f t="shared" si="12"/>
        <v>#DIV/0!</v>
      </c>
      <c r="O82" s="163"/>
      <c r="P82" s="179">
        <f t="shared" si="9"/>
        <v>0</v>
      </c>
      <c r="Q82" s="209"/>
      <c r="R82" s="163"/>
      <c r="S82" s="157"/>
      <c r="T82" s="157"/>
      <c r="U82" s="157"/>
      <c r="V82" s="157"/>
    </row>
    <row r="83" spans="1:22" s="139" customFormat="1" ht="60" customHeight="1" x14ac:dyDescent="0.3">
      <c r="A83" s="28">
        <f t="shared" si="11"/>
        <v>70</v>
      </c>
      <c r="B83" s="220" t="s">
        <v>249</v>
      </c>
      <c r="C83" s="221"/>
      <c r="D83" s="28" t="s">
        <v>4</v>
      </c>
      <c r="E83" s="37">
        <v>1</v>
      </c>
      <c r="F83" s="94">
        <v>4000</v>
      </c>
      <c r="G83" s="42">
        <f t="shared" si="3"/>
        <v>4000</v>
      </c>
      <c r="H83" s="28"/>
      <c r="I83" s="7"/>
      <c r="J83" s="28"/>
      <c r="K83" s="28"/>
      <c r="L83" s="28"/>
      <c r="M83" s="28"/>
      <c r="N83" s="166" t="e">
        <f t="shared" si="12"/>
        <v>#DIV/0!</v>
      </c>
      <c r="O83" s="163"/>
      <c r="P83" s="179">
        <f t="shared" si="9"/>
        <v>0</v>
      </c>
      <c r="Q83" s="209"/>
      <c r="R83" s="163"/>
      <c r="S83" s="157"/>
      <c r="T83" s="157"/>
      <c r="U83" s="157"/>
      <c r="V83" s="157"/>
    </row>
    <row r="84" spans="1:22" s="139" customFormat="1" ht="60" customHeight="1" x14ac:dyDescent="0.3">
      <c r="A84" s="28">
        <f t="shared" si="11"/>
        <v>71</v>
      </c>
      <c r="B84" s="220" t="s">
        <v>408</v>
      </c>
      <c r="C84" s="221"/>
      <c r="D84" s="32" t="s">
        <v>252</v>
      </c>
      <c r="E84" s="37">
        <v>1</v>
      </c>
      <c r="F84" s="94">
        <v>2000</v>
      </c>
      <c r="G84" s="42">
        <f t="shared" si="3"/>
        <v>2000</v>
      </c>
      <c r="H84" s="28"/>
      <c r="I84" s="7"/>
      <c r="J84" s="28"/>
      <c r="K84" s="28"/>
      <c r="L84" s="28"/>
      <c r="M84" s="28"/>
      <c r="N84" s="166" t="e">
        <f t="shared" si="12"/>
        <v>#DIV/0!</v>
      </c>
      <c r="O84" s="163"/>
      <c r="P84" s="179">
        <f t="shared" si="9"/>
        <v>0</v>
      </c>
      <c r="Q84" s="209"/>
      <c r="R84" s="163"/>
      <c r="S84" s="157"/>
      <c r="T84" s="157"/>
      <c r="U84" s="157"/>
      <c r="V84" s="157"/>
    </row>
    <row r="85" spans="1:22" s="139" customFormat="1" ht="60" customHeight="1" x14ac:dyDescent="0.3">
      <c r="A85" s="28">
        <f t="shared" si="11"/>
        <v>72</v>
      </c>
      <c r="B85" s="231" t="s">
        <v>73</v>
      </c>
      <c r="C85" s="232"/>
      <c r="D85" s="28" t="s">
        <v>4</v>
      </c>
      <c r="E85" s="37">
        <v>1</v>
      </c>
      <c r="F85" s="94">
        <v>10000</v>
      </c>
      <c r="G85" s="42">
        <f t="shared" si="3"/>
        <v>10000</v>
      </c>
      <c r="H85" s="28"/>
      <c r="I85" s="7"/>
      <c r="J85" s="28"/>
      <c r="K85" s="28"/>
      <c r="L85" s="28"/>
      <c r="M85" s="28"/>
      <c r="N85" s="166" t="e">
        <f t="shared" si="12"/>
        <v>#DIV/0!</v>
      </c>
      <c r="O85" s="163"/>
      <c r="P85" s="179">
        <f t="shared" si="9"/>
        <v>0</v>
      </c>
      <c r="Q85" s="209"/>
      <c r="R85" s="163"/>
      <c r="S85" s="157"/>
      <c r="T85" s="157"/>
      <c r="U85" s="157"/>
      <c r="V85" s="157"/>
    </row>
    <row r="86" spans="1:22" s="139" customFormat="1" ht="60" customHeight="1" x14ac:dyDescent="0.3">
      <c r="A86" s="28">
        <f t="shared" si="11"/>
        <v>73</v>
      </c>
      <c r="B86" s="220" t="s">
        <v>409</v>
      </c>
      <c r="C86" s="221"/>
      <c r="D86" s="28" t="s">
        <v>3</v>
      </c>
      <c r="E86" s="37">
        <v>1</v>
      </c>
      <c r="F86" s="94">
        <v>1000</v>
      </c>
      <c r="G86" s="42">
        <f t="shared" si="3"/>
        <v>1000</v>
      </c>
      <c r="H86" s="28"/>
      <c r="I86" s="7"/>
      <c r="J86" s="28"/>
      <c r="K86" s="28"/>
      <c r="L86" s="28"/>
      <c r="M86" s="28"/>
      <c r="N86" s="166" t="e">
        <f t="shared" si="12"/>
        <v>#DIV/0!</v>
      </c>
      <c r="O86" s="163"/>
      <c r="P86" s="179">
        <f t="shared" si="9"/>
        <v>0</v>
      </c>
      <c r="Q86" s="209"/>
      <c r="R86" s="163"/>
      <c r="S86" s="157"/>
      <c r="T86" s="157"/>
      <c r="U86" s="157"/>
      <c r="V86" s="157"/>
    </row>
    <row r="87" spans="1:22" s="139" customFormat="1" ht="60" customHeight="1" x14ac:dyDescent="0.3">
      <c r="A87" s="28">
        <f t="shared" si="11"/>
        <v>74</v>
      </c>
      <c r="B87" s="236" t="s">
        <v>75</v>
      </c>
      <c r="C87" s="237"/>
      <c r="D87" s="32" t="s">
        <v>252</v>
      </c>
      <c r="E87" s="37">
        <v>1</v>
      </c>
      <c r="F87" s="94">
        <v>1200</v>
      </c>
      <c r="G87" s="42">
        <f t="shared" si="3"/>
        <v>1200</v>
      </c>
      <c r="H87" s="28"/>
      <c r="I87" s="7"/>
      <c r="J87" s="28"/>
      <c r="K87" s="28"/>
      <c r="L87" s="28"/>
      <c r="M87" s="28"/>
      <c r="N87" s="166" t="e">
        <f t="shared" si="12"/>
        <v>#DIV/0!</v>
      </c>
      <c r="O87" s="163"/>
      <c r="P87" s="179">
        <f t="shared" si="9"/>
        <v>0</v>
      </c>
      <c r="Q87" s="209"/>
      <c r="R87" s="163"/>
      <c r="S87" s="157"/>
      <c r="T87" s="157"/>
      <c r="U87" s="157"/>
      <c r="V87" s="157"/>
    </row>
    <row r="88" spans="1:22" s="139" customFormat="1" ht="60" customHeight="1" x14ac:dyDescent="0.3">
      <c r="A88" s="28">
        <f t="shared" si="11"/>
        <v>75</v>
      </c>
      <c r="B88" s="220" t="s">
        <v>410</v>
      </c>
      <c r="C88" s="221"/>
      <c r="D88" s="32" t="s">
        <v>252</v>
      </c>
      <c r="E88" s="37">
        <v>1</v>
      </c>
      <c r="F88" s="94">
        <v>200</v>
      </c>
      <c r="G88" s="42">
        <f t="shared" si="3"/>
        <v>200</v>
      </c>
      <c r="H88" s="28"/>
      <c r="I88" s="7"/>
      <c r="J88" s="28"/>
      <c r="K88" s="28"/>
      <c r="L88" s="28"/>
      <c r="M88" s="28"/>
      <c r="N88" s="166" t="e">
        <f t="shared" si="12"/>
        <v>#DIV/0!</v>
      </c>
      <c r="O88" s="163"/>
      <c r="P88" s="179">
        <f t="shared" si="9"/>
        <v>0</v>
      </c>
      <c r="Q88" s="209"/>
      <c r="R88" s="163"/>
      <c r="S88" s="157"/>
      <c r="T88" s="157"/>
      <c r="U88" s="157"/>
      <c r="V88" s="157"/>
    </row>
    <row r="89" spans="1:22" s="139" customFormat="1" ht="60" customHeight="1" x14ac:dyDescent="0.3">
      <c r="A89" s="28">
        <f t="shared" si="11"/>
        <v>76</v>
      </c>
      <c r="B89" s="220" t="s">
        <v>665</v>
      </c>
      <c r="C89" s="232"/>
      <c r="D89" s="28" t="s">
        <v>8</v>
      </c>
      <c r="E89" s="37">
        <v>5</v>
      </c>
      <c r="F89" s="94">
        <v>3000</v>
      </c>
      <c r="G89" s="42">
        <f>E89*F89</f>
        <v>15000</v>
      </c>
      <c r="H89" s="28"/>
      <c r="I89" s="7"/>
      <c r="J89" s="28"/>
      <c r="K89" s="28"/>
      <c r="L89" s="28"/>
      <c r="M89" s="28"/>
      <c r="N89" s="166">
        <f>8000*5</f>
        <v>40000</v>
      </c>
      <c r="O89" s="163"/>
      <c r="P89" s="179">
        <f t="shared" si="9"/>
        <v>0</v>
      </c>
      <c r="Q89" s="209">
        <f>(K89+(N89+P89))*$R$12</f>
        <v>54000</v>
      </c>
      <c r="R89" s="163"/>
      <c r="S89" s="157"/>
      <c r="T89" s="157"/>
      <c r="U89" s="157"/>
      <c r="V89" s="157"/>
    </row>
    <row r="90" spans="1:22" s="145" customFormat="1" ht="79.95" customHeight="1" x14ac:dyDescent="0.3">
      <c r="A90" s="28">
        <f t="shared" si="11"/>
        <v>77</v>
      </c>
      <c r="B90" s="220" t="s">
        <v>663</v>
      </c>
      <c r="C90" s="221"/>
      <c r="D90" s="28" t="s">
        <v>11</v>
      </c>
      <c r="E90" s="37">
        <v>1</v>
      </c>
      <c r="F90" s="94">
        <f>SUM(G14:G88)*0.1</f>
        <v>70623</v>
      </c>
      <c r="G90" s="42">
        <f t="shared" ref="G90:G91" si="13">E90*F90</f>
        <v>70623</v>
      </c>
      <c r="H90" s="28"/>
      <c r="I90" s="7"/>
      <c r="J90" s="170"/>
      <c r="K90" s="170"/>
      <c r="L90" s="170"/>
      <c r="M90" s="170"/>
      <c r="N90" s="166" t="e">
        <f>ROUNDUP(E90*L90/S90,0)*T90+ROUNDUP(E90*M90/U90,0)*V90</f>
        <v>#DIV/0!</v>
      </c>
      <c r="O90" s="171"/>
      <c r="P90" s="179">
        <f t="shared" si="9"/>
        <v>0</v>
      </c>
      <c r="Q90" s="212"/>
      <c r="R90" s="171"/>
      <c r="S90" s="172"/>
      <c r="T90" s="172"/>
      <c r="U90" s="172"/>
      <c r="V90" s="172"/>
    </row>
    <row r="91" spans="1:22" s="145" customFormat="1" ht="60" customHeight="1" x14ac:dyDescent="0.3">
      <c r="A91" s="28">
        <f t="shared" si="11"/>
        <v>78</v>
      </c>
      <c r="B91" s="220" t="s">
        <v>556</v>
      </c>
      <c r="C91" s="221"/>
      <c r="D91" s="28" t="s">
        <v>11</v>
      </c>
      <c r="E91" s="37">
        <v>1</v>
      </c>
      <c r="F91" s="190">
        <v>-1000</v>
      </c>
      <c r="G91" s="47">
        <f t="shared" si="13"/>
        <v>-1000</v>
      </c>
      <c r="H91" s="28"/>
      <c r="I91" s="7"/>
      <c r="J91" s="170"/>
      <c r="K91" s="170"/>
      <c r="L91" s="170"/>
      <c r="M91" s="170"/>
      <c r="N91" s="166" t="e">
        <f>ROUNDUP(E91*L91/S91,0)*T91+ROUNDUP(E91*M91/U91,0)*V91</f>
        <v>#DIV/0!</v>
      </c>
      <c r="O91" s="171"/>
      <c r="P91" s="179">
        <f t="shared" si="9"/>
        <v>0</v>
      </c>
      <c r="Q91" s="212"/>
      <c r="R91" s="171"/>
      <c r="S91" s="172"/>
      <c r="T91" s="172"/>
      <c r="U91" s="172"/>
      <c r="V91" s="172"/>
    </row>
    <row r="92" spans="1:22" s="145" customFormat="1" x14ac:dyDescent="0.3">
      <c r="A92" s="28"/>
      <c r="B92" s="215" t="s">
        <v>481</v>
      </c>
      <c r="C92" s="216"/>
      <c r="D92" s="28"/>
      <c r="E92" s="37"/>
      <c r="F92" s="94"/>
      <c r="G92" s="156">
        <f>SUM(G14:G91)</f>
        <v>790853</v>
      </c>
      <c r="H92" s="28"/>
      <c r="I92" s="7"/>
      <c r="J92" s="170"/>
      <c r="K92" s="170"/>
      <c r="L92" s="170"/>
      <c r="M92" s="170"/>
      <c r="N92" s="171"/>
      <c r="O92" s="171"/>
      <c r="P92" s="171"/>
      <c r="Q92" s="212"/>
      <c r="R92" s="171"/>
      <c r="S92" s="172"/>
      <c r="T92" s="172"/>
      <c r="U92" s="172"/>
      <c r="V92" s="172"/>
    </row>
    <row r="93" spans="1:22" s="145" customFormat="1" x14ac:dyDescent="0.3">
      <c r="A93" s="28"/>
      <c r="B93" s="215" t="s">
        <v>482</v>
      </c>
      <c r="C93" s="216"/>
      <c r="D93" s="28"/>
      <c r="E93" s="37"/>
      <c r="F93" s="94"/>
      <c r="G93" s="156">
        <f>G92*0.05</f>
        <v>39542.65</v>
      </c>
      <c r="H93" s="28"/>
      <c r="I93" s="7"/>
      <c r="J93" s="170"/>
      <c r="K93" s="170"/>
      <c r="L93" s="170"/>
      <c r="M93" s="170"/>
      <c r="N93" s="171"/>
      <c r="O93" s="171"/>
      <c r="P93" s="171"/>
      <c r="Q93" s="212"/>
      <c r="R93" s="171"/>
      <c r="S93" s="172"/>
      <c r="T93" s="172"/>
      <c r="U93" s="172"/>
      <c r="V93" s="172"/>
    </row>
    <row r="94" spans="1:22" ht="30" customHeight="1" x14ac:dyDescent="0.3">
      <c r="A94" s="28"/>
      <c r="B94" s="238" t="s">
        <v>16</v>
      </c>
      <c r="C94" s="239"/>
      <c r="D94" s="28"/>
      <c r="E94" s="68"/>
      <c r="F94" s="49"/>
      <c r="G94" s="155">
        <f>G92+G93</f>
        <v>830395.65</v>
      </c>
      <c r="H94" s="78"/>
      <c r="I94" s="159"/>
      <c r="J94" s="28"/>
      <c r="K94" s="28"/>
      <c r="L94" s="28"/>
      <c r="M94" s="28"/>
      <c r="N94" s="28"/>
      <c r="O94" s="43"/>
      <c r="P94" s="43"/>
      <c r="Q94" s="213"/>
      <c r="R94" s="43"/>
      <c r="S94" s="28"/>
      <c r="T94" s="28"/>
      <c r="U94" s="28"/>
      <c r="V94" s="28"/>
    </row>
    <row r="95" spans="1:22" x14ac:dyDescent="0.3">
      <c r="A95" s="228" t="s">
        <v>17</v>
      </c>
      <c r="B95" s="193">
        <f>ROW()-97</f>
        <v>-2</v>
      </c>
      <c r="C95" s="227" t="s">
        <v>600</v>
      </c>
      <c r="D95" s="227"/>
      <c r="E95" s="227"/>
      <c r="F95" s="227"/>
      <c r="G95" s="227"/>
      <c r="H95" s="227"/>
      <c r="J95" s="43"/>
      <c r="K95" s="43"/>
      <c r="L95" s="43"/>
      <c r="M95" s="43"/>
      <c r="N95" s="43"/>
      <c r="O95" s="43"/>
      <c r="P95" s="43"/>
      <c r="Q95" s="213"/>
      <c r="R95" s="43"/>
      <c r="S95" s="28"/>
      <c r="T95" s="28"/>
      <c r="U95" s="28"/>
      <c r="V95" s="28"/>
    </row>
    <row r="96" spans="1:22" x14ac:dyDescent="0.3">
      <c r="A96" s="228"/>
      <c r="B96" s="193">
        <f t="shared" ref="B96:B102" si="14">ROW()-97</f>
        <v>-1</v>
      </c>
      <c r="C96" s="227" t="s">
        <v>601</v>
      </c>
      <c r="D96" s="227"/>
      <c r="E96" s="227"/>
      <c r="F96" s="227"/>
      <c r="G96" s="227"/>
      <c r="H96" s="227"/>
      <c r="J96" s="43"/>
      <c r="K96" s="43"/>
      <c r="L96" s="43"/>
      <c r="M96" s="43"/>
      <c r="N96" s="43"/>
      <c r="O96" s="43"/>
      <c r="P96" s="43"/>
      <c r="Q96" s="213"/>
      <c r="R96" s="43"/>
      <c r="S96" s="28"/>
      <c r="T96" s="28"/>
      <c r="U96" s="28"/>
      <c r="V96" s="28"/>
    </row>
    <row r="97" spans="1:22" x14ac:dyDescent="0.3">
      <c r="A97" s="228"/>
      <c r="B97" s="193">
        <f t="shared" si="14"/>
        <v>0</v>
      </c>
      <c r="C97" s="230" t="s">
        <v>595</v>
      </c>
      <c r="D97" s="227"/>
      <c r="E97" s="227"/>
      <c r="F97" s="227"/>
      <c r="G97" s="227"/>
      <c r="H97" s="227"/>
      <c r="J97" s="43"/>
      <c r="K97" s="43"/>
      <c r="L97" s="43"/>
      <c r="M97" s="43"/>
      <c r="N97" s="43"/>
      <c r="O97" s="43"/>
      <c r="P97" s="43"/>
      <c r="Q97" s="213"/>
      <c r="R97" s="43"/>
      <c r="S97" s="28"/>
      <c r="T97" s="28"/>
      <c r="U97" s="28"/>
      <c r="V97" s="28"/>
    </row>
    <row r="98" spans="1:22" x14ac:dyDescent="0.3">
      <c r="A98" s="228"/>
      <c r="B98" s="193">
        <f t="shared" si="14"/>
        <v>1</v>
      </c>
      <c r="C98" s="227" t="s">
        <v>596</v>
      </c>
      <c r="D98" s="227"/>
      <c r="E98" s="227"/>
      <c r="F98" s="227"/>
      <c r="G98" s="227"/>
      <c r="H98" s="227"/>
      <c r="J98" s="77"/>
      <c r="K98" s="77"/>
      <c r="L98" s="77"/>
      <c r="M98" s="77"/>
      <c r="N98" s="43"/>
      <c r="O98" s="43"/>
      <c r="P98" s="43"/>
      <c r="Q98" s="213"/>
      <c r="R98" s="43"/>
      <c r="S98" s="28"/>
      <c r="T98" s="28"/>
      <c r="U98" s="28"/>
      <c r="V98" s="28"/>
    </row>
    <row r="99" spans="1:22" x14ac:dyDescent="0.3">
      <c r="A99" s="228"/>
      <c r="B99" s="193">
        <f t="shared" si="14"/>
        <v>2</v>
      </c>
      <c r="C99" s="227" t="s">
        <v>597</v>
      </c>
      <c r="D99" s="227"/>
      <c r="E99" s="227"/>
      <c r="F99" s="227"/>
      <c r="G99" s="227"/>
      <c r="H99" s="227"/>
      <c r="J99" s="43"/>
      <c r="K99" s="43"/>
      <c r="L99" s="43"/>
      <c r="M99" s="43"/>
      <c r="N99" s="43"/>
      <c r="O99" s="43"/>
      <c r="P99" s="43"/>
      <c r="Q99" s="213"/>
      <c r="R99" s="43"/>
      <c r="S99" s="28"/>
      <c r="T99" s="28"/>
      <c r="U99" s="28"/>
      <c r="V99" s="28"/>
    </row>
    <row r="100" spans="1:22" x14ac:dyDescent="0.3">
      <c r="A100" s="228"/>
      <c r="B100" s="193">
        <f t="shared" si="14"/>
        <v>3</v>
      </c>
      <c r="C100" s="233" t="s">
        <v>662</v>
      </c>
      <c r="D100" s="234"/>
      <c r="E100" s="234"/>
      <c r="F100" s="234"/>
      <c r="G100" s="234"/>
      <c r="H100" s="235"/>
      <c r="J100" s="43"/>
      <c r="K100" s="43"/>
      <c r="L100" s="43"/>
      <c r="M100" s="43"/>
      <c r="N100" s="43"/>
      <c r="O100" s="43"/>
      <c r="P100" s="43"/>
      <c r="Q100" s="213"/>
      <c r="R100" s="43"/>
      <c r="S100" s="28"/>
      <c r="T100" s="28"/>
      <c r="U100" s="28"/>
      <c r="V100" s="28"/>
    </row>
    <row r="101" spans="1:22" x14ac:dyDescent="0.3">
      <c r="A101" s="228"/>
      <c r="B101" s="193">
        <f t="shared" si="14"/>
        <v>4</v>
      </c>
      <c r="C101" s="227" t="s">
        <v>598</v>
      </c>
      <c r="D101" s="227"/>
      <c r="E101" s="227"/>
      <c r="F101" s="227"/>
      <c r="G101" s="227"/>
      <c r="H101" s="227"/>
      <c r="J101" s="43"/>
      <c r="K101" s="43"/>
      <c r="L101" s="43"/>
      <c r="M101" s="43"/>
      <c r="N101" s="43"/>
      <c r="O101" s="43"/>
      <c r="P101" s="43"/>
      <c r="Q101" s="213"/>
      <c r="R101" s="43"/>
      <c r="S101" s="28"/>
      <c r="T101" s="28"/>
      <c r="U101" s="28"/>
      <c r="V101" s="28"/>
    </row>
    <row r="102" spans="1:22" x14ac:dyDescent="0.3">
      <c r="A102" s="229"/>
      <c r="B102" s="193">
        <f t="shared" si="14"/>
        <v>5</v>
      </c>
      <c r="C102" s="227" t="s">
        <v>599</v>
      </c>
      <c r="D102" s="227"/>
      <c r="E102" s="227"/>
      <c r="F102" s="227"/>
      <c r="G102" s="227"/>
      <c r="H102" s="227"/>
      <c r="J102" s="43"/>
      <c r="K102" s="43"/>
      <c r="L102" s="43"/>
      <c r="M102" s="43"/>
      <c r="N102" s="43"/>
      <c r="O102" s="43"/>
      <c r="P102" s="43"/>
      <c r="Q102" s="213"/>
      <c r="R102" s="43"/>
      <c r="S102" s="28"/>
      <c r="T102" s="28"/>
      <c r="U102" s="28"/>
      <c r="V102" s="28"/>
    </row>
    <row r="103" spans="1:22" x14ac:dyDescent="0.3">
      <c r="A103" s="17" t="s">
        <v>49</v>
      </c>
      <c r="B103" s="3"/>
      <c r="H103" s="20"/>
      <c r="J103" s="43"/>
      <c r="K103" s="43"/>
      <c r="L103" s="43"/>
      <c r="M103" s="43"/>
      <c r="N103" s="43"/>
      <c r="O103" s="43"/>
      <c r="P103" s="43"/>
      <c r="Q103" s="213"/>
      <c r="R103" s="43"/>
      <c r="S103" s="28"/>
      <c r="T103" s="28"/>
      <c r="U103" s="28"/>
      <c r="V103" s="28"/>
    </row>
    <row r="104" spans="1:22" x14ac:dyDescent="0.3">
      <c r="A104" s="17" t="s">
        <v>535</v>
      </c>
      <c r="B104" s="3"/>
      <c r="H104" s="20"/>
      <c r="J104" s="43"/>
      <c r="K104" s="43"/>
      <c r="L104" s="43"/>
      <c r="M104" s="43"/>
      <c r="N104" s="43"/>
      <c r="O104" s="43"/>
      <c r="P104" s="43"/>
      <c r="Q104" s="213"/>
      <c r="R104" s="43"/>
      <c r="S104" s="28"/>
      <c r="T104" s="28"/>
      <c r="U104" s="28"/>
      <c r="V104" s="28"/>
    </row>
    <row r="105" spans="1:22" x14ac:dyDescent="0.3">
      <c r="A105" s="154" t="s">
        <v>250</v>
      </c>
      <c r="B105" s="192"/>
      <c r="C105" s="24"/>
      <c r="D105" s="24"/>
      <c r="E105" s="84"/>
      <c r="F105" s="85"/>
      <c r="G105" s="86"/>
      <c r="H105" s="87"/>
      <c r="J105" s="43"/>
      <c r="K105" s="43"/>
      <c r="L105" s="43"/>
      <c r="M105" s="43"/>
      <c r="N105" s="43"/>
      <c r="O105" s="43"/>
      <c r="P105" s="43"/>
      <c r="Q105" s="213"/>
      <c r="R105" s="43"/>
      <c r="S105" s="28"/>
      <c r="T105" s="28"/>
      <c r="U105" s="28"/>
      <c r="V105" s="28"/>
    </row>
  </sheetData>
  <mergeCells count="94">
    <mergeCell ref="B80:C80"/>
    <mergeCell ref="B92:C92"/>
    <mergeCell ref="B93:C93"/>
    <mergeCell ref="B94:C94"/>
    <mergeCell ref="B12:C12"/>
    <mergeCell ref="B86:C86"/>
    <mergeCell ref="B87:C87"/>
    <mergeCell ref="B88:C88"/>
    <mergeCell ref="B90:C90"/>
    <mergeCell ref="B91:C91"/>
    <mergeCell ref="B81:C81"/>
    <mergeCell ref="B82:C82"/>
    <mergeCell ref="B83:C83"/>
    <mergeCell ref="B84:C84"/>
    <mergeCell ref="B85:C85"/>
    <mergeCell ref="B73:C73"/>
    <mergeCell ref="B76:C76"/>
    <mergeCell ref="B75:C75"/>
    <mergeCell ref="B78:C78"/>
    <mergeCell ref="B79:C79"/>
    <mergeCell ref="B68:C68"/>
    <mergeCell ref="B69:C69"/>
    <mergeCell ref="B70:C70"/>
    <mergeCell ref="B71:C71"/>
    <mergeCell ref="B72:C72"/>
    <mergeCell ref="B74:C74"/>
    <mergeCell ref="B77:C77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4:C44"/>
    <mergeCell ref="B46:C46"/>
    <mergeCell ref="B45:C45"/>
    <mergeCell ref="B42:C42"/>
    <mergeCell ref="B47:C47"/>
    <mergeCell ref="B38:C38"/>
    <mergeCell ref="B39:C39"/>
    <mergeCell ref="B40:C40"/>
    <mergeCell ref="B41:C41"/>
    <mergeCell ref="B43:C43"/>
    <mergeCell ref="B33:C33"/>
    <mergeCell ref="B35:C35"/>
    <mergeCell ref="B36:C36"/>
    <mergeCell ref="B34:C34"/>
    <mergeCell ref="B37:C37"/>
    <mergeCell ref="A1:H1"/>
    <mergeCell ref="A95:A102"/>
    <mergeCell ref="C95:H95"/>
    <mergeCell ref="C96:H96"/>
    <mergeCell ref="C97:H97"/>
    <mergeCell ref="C98:H98"/>
    <mergeCell ref="C99:H99"/>
    <mergeCell ref="G3:H3"/>
    <mergeCell ref="B13:H13"/>
    <mergeCell ref="B15:C15"/>
    <mergeCell ref="B16:C16"/>
    <mergeCell ref="B17:C17"/>
    <mergeCell ref="B18:C18"/>
    <mergeCell ref="B14:C14"/>
    <mergeCell ref="B89:C89"/>
    <mergeCell ref="C100:H100"/>
    <mergeCell ref="C101:H101"/>
    <mergeCell ref="C102:H102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3" fitToHeight="0" orientation="portrait" horizontalDpi="300" verticalDpi="300" r:id="rId1"/>
  <headerFooter alignWithMargins="0"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C2D8-7349-EB46-A246-1536A08D6B3D}">
  <sheetPr>
    <tabColor theme="9" tint="0.79998168889431442"/>
    <pageSetUpPr fitToPage="1"/>
  </sheetPr>
  <dimension ref="A1:V56"/>
  <sheetViews>
    <sheetView showGridLines="0" tabSelected="1" view="pageBreakPreview" zoomScale="85" zoomScaleNormal="70" zoomScaleSheetLayoutView="85" zoomScalePageLayoutView="85" workbookViewId="0">
      <selection activeCell="G42" sqref="G42"/>
    </sheetView>
  </sheetViews>
  <sheetFormatPr defaultColWidth="9" defaultRowHeight="17.399999999999999" x14ac:dyDescent="0.3"/>
  <cols>
    <col min="1" max="1" width="5.6640625" style="7" customWidth="1"/>
    <col min="2" max="2" width="4.33203125" style="7" bestFit="1" customWidth="1"/>
    <col min="3" max="3" width="59.6640625" style="4" customWidth="1"/>
    <col min="4" max="4" width="8.44140625" style="4" customWidth="1"/>
    <col min="5" max="5" width="10.44140625" style="69" bestFit="1" customWidth="1"/>
    <col min="6" max="6" width="14.664062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44140625" style="4" bestFit="1" customWidth="1"/>
    <col min="12" max="13" width="19.6640625" style="4" bestFit="1" customWidth="1"/>
    <col min="14" max="14" width="16.6640625" style="4" bestFit="1" customWidth="1"/>
    <col min="15" max="15" width="17.44140625" style="4" bestFit="1" customWidth="1"/>
    <col min="16" max="16" width="14.6640625" style="4" bestFit="1" customWidth="1"/>
    <col min="17" max="17" width="16" style="181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6"/>
      <c r="G3" s="223"/>
      <c r="H3" s="224"/>
      <c r="I3" s="73"/>
    </row>
    <row r="4" spans="1:22" x14ac:dyDescent="0.3">
      <c r="A4" s="17"/>
      <c r="B4" s="3"/>
      <c r="D4" s="7"/>
      <c r="E4" s="72"/>
      <c r="F4" s="19"/>
      <c r="G4" s="19"/>
      <c r="H4" s="20"/>
    </row>
    <row r="5" spans="1:22" x14ac:dyDescent="0.3">
      <c r="A5" s="17"/>
      <c r="B5" s="3"/>
      <c r="D5" s="7"/>
      <c r="E5" s="72"/>
      <c r="F5" s="19"/>
      <c r="G5" s="73"/>
      <c r="H5" s="74"/>
      <c r="I5" s="73"/>
    </row>
    <row r="6" spans="1:22" x14ac:dyDescent="0.3">
      <c r="A6" s="17"/>
      <c r="B6" s="3"/>
      <c r="D6" s="7"/>
      <c r="E6" s="72"/>
      <c r="G6" s="73"/>
      <c r="H6" s="74"/>
      <c r="I6" s="73"/>
    </row>
    <row r="7" spans="1:22" x14ac:dyDescent="0.3">
      <c r="A7" s="17"/>
      <c r="B7" s="3"/>
      <c r="D7" s="7"/>
      <c r="E7" s="72"/>
      <c r="F7" s="19" t="s">
        <v>21</v>
      </c>
      <c r="G7" s="73"/>
      <c r="H7" s="74"/>
      <c r="I7" s="73"/>
    </row>
    <row r="8" spans="1:22" x14ac:dyDescent="0.3">
      <c r="A8" s="17"/>
      <c r="B8" s="3"/>
      <c r="D8" s="7"/>
      <c r="E8" s="72"/>
      <c r="F8" s="19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22" t="s">
        <v>25</v>
      </c>
      <c r="G10" s="73"/>
      <c r="H10" s="74"/>
      <c r="I10" s="73"/>
    </row>
    <row r="11" spans="1:22" ht="22.2" customHeight="1" x14ac:dyDescent="0.3">
      <c r="A11" s="23" t="s">
        <v>26</v>
      </c>
      <c r="B11" s="24"/>
      <c r="C11" s="24"/>
      <c r="D11" s="25"/>
      <c r="E11" s="62"/>
      <c r="F11" s="19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180" t="s">
        <v>558</v>
      </c>
      <c r="R12" s="161">
        <v>1.3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x14ac:dyDescent="0.3">
      <c r="A13" s="28" t="s">
        <v>34</v>
      </c>
      <c r="B13" s="217" t="s">
        <v>568</v>
      </c>
      <c r="C13" s="218"/>
      <c r="D13" s="218"/>
      <c r="E13" s="218"/>
      <c r="F13" s="218"/>
      <c r="G13" s="218"/>
      <c r="H13" s="219"/>
      <c r="I13" s="7"/>
      <c r="J13" s="157"/>
      <c r="K13" s="157"/>
      <c r="L13" s="187"/>
      <c r="M13" s="187"/>
      <c r="N13" s="162"/>
      <c r="O13" s="186"/>
      <c r="P13" s="162"/>
      <c r="Q13" s="180"/>
      <c r="R13" s="161"/>
      <c r="S13" s="157"/>
      <c r="T13" s="157"/>
      <c r="U13" s="157"/>
      <c r="V13" s="157"/>
    </row>
    <row r="14" spans="1:22" s="139" customFormat="1" ht="79.95" customHeight="1" x14ac:dyDescent="0.3">
      <c r="A14" s="28">
        <f>ROW()-13</f>
        <v>1</v>
      </c>
      <c r="B14" s="220" t="s">
        <v>585</v>
      </c>
      <c r="C14" s="221"/>
      <c r="D14" s="149" t="s">
        <v>8</v>
      </c>
      <c r="E14" s="150">
        <v>1</v>
      </c>
      <c r="F14" s="146">
        <v>10000</v>
      </c>
      <c r="G14" s="42">
        <f t="shared" ref="G14:G42" si="0">E14*F14</f>
        <v>10000</v>
      </c>
      <c r="H14" s="28"/>
      <c r="I14" s="7"/>
      <c r="J14" s="28"/>
      <c r="K14" s="28">
        <f>0.01*500+20</f>
        <v>25</v>
      </c>
      <c r="L14" s="28"/>
      <c r="M14" s="28"/>
      <c r="N14" s="166">
        <f t="shared" ref="N14:N28" si="1">ROUNDUP(E14*L14/S14,0)*T14+ROUNDUP(E14*M14/U14,0)*V14</f>
        <v>0</v>
      </c>
      <c r="O14" s="163">
        <f>4000*0.02</f>
        <v>80</v>
      </c>
      <c r="P14" s="179">
        <f t="shared" ref="P14:P42" si="2">E14*O14</f>
        <v>80</v>
      </c>
      <c r="Q14" s="184">
        <f t="shared" ref="Q14:Q42" si="3">(K14+(N14+P14))*$R$12</f>
        <v>136.5</v>
      </c>
      <c r="R14" s="163"/>
      <c r="S14" s="157">
        <v>1</v>
      </c>
      <c r="T14" s="157"/>
      <c r="U14" s="157">
        <v>1</v>
      </c>
      <c r="V14" s="157"/>
    </row>
    <row r="15" spans="1:22" s="139" customFormat="1" ht="79.95" customHeight="1" x14ac:dyDescent="0.3">
      <c r="A15" s="28">
        <f t="shared" ref="A15:A42" si="4">ROW()-13</f>
        <v>2</v>
      </c>
      <c r="B15" s="220" t="s">
        <v>586</v>
      </c>
      <c r="C15" s="221"/>
      <c r="D15" s="149" t="s">
        <v>8</v>
      </c>
      <c r="E15" s="150">
        <v>1</v>
      </c>
      <c r="F15" s="146">
        <v>25000</v>
      </c>
      <c r="G15" s="42">
        <f t="shared" si="0"/>
        <v>25000</v>
      </c>
      <c r="H15" s="28"/>
      <c r="I15" s="7"/>
      <c r="J15" s="28"/>
      <c r="K15" s="28"/>
      <c r="L15" s="28"/>
      <c r="M15" s="28"/>
      <c r="N15" s="166">
        <f t="shared" si="1"/>
        <v>0</v>
      </c>
      <c r="O15" s="163"/>
      <c r="P15" s="179">
        <f>E15*O15</f>
        <v>0</v>
      </c>
      <c r="Q15" s="189"/>
      <c r="R15" s="163"/>
      <c r="S15" s="157">
        <v>1</v>
      </c>
      <c r="T15" s="157"/>
      <c r="U15" s="157">
        <v>1</v>
      </c>
      <c r="V15" s="157"/>
    </row>
    <row r="16" spans="1:22" s="139" customFormat="1" ht="79.95" customHeight="1" x14ac:dyDescent="0.3">
      <c r="A16" s="28">
        <f t="shared" si="4"/>
        <v>3</v>
      </c>
      <c r="B16" s="220" t="s">
        <v>587</v>
      </c>
      <c r="C16" s="221"/>
      <c r="D16" s="149" t="s">
        <v>8</v>
      </c>
      <c r="E16" s="150">
        <v>1</v>
      </c>
      <c r="F16" s="146">
        <v>2000</v>
      </c>
      <c r="G16" s="42">
        <f t="shared" si="0"/>
        <v>2000</v>
      </c>
      <c r="H16" s="28"/>
      <c r="I16" s="7"/>
      <c r="J16" s="173">
        <f>E16*L16/S16</f>
        <v>0.13333333333333333</v>
      </c>
      <c r="K16" s="28"/>
      <c r="L16" s="157">
        <v>4</v>
      </c>
      <c r="M16" s="157"/>
      <c r="N16" s="166">
        <f t="shared" si="1"/>
        <v>425</v>
      </c>
      <c r="O16" s="163">
        <v>350</v>
      </c>
      <c r="P16" s="179">
        <f t="shared" si="2"/>
        <v>350</v>
      </c>
      <c r="Q16" s="188">
        <f>(K16+N16+P16)*($R$12)</f>
        <v>1007.5</v>
      </c>
      <c r="R16" s="157"/>
      <c r="S16" s="157">
        <v>30</v>
      </c>
      <c r="T16" s="157">
        <v>425</v>
      </c>
      <c r="U16" s="157">
        <v>1</v>
      </c>
      <c r="V16" s="157"/>
    </row>
    <row r="17" spans="1:22" s="139" customFormat="1" ht="79.95" customHeight="1" x14ac:dyDescent="0.3">
      <c r="A17" s="28">
        <f t="shared" si="4"/>
        <v>4</v>
      </c>
      <c r="B17" s="220" t="s">
        <v>588</v>
      </c>
      <c r="C17" s="221"/>
      <c r="D17" s="32" t="s">
        <v>252</v>
      </c>
      <c r="E17" s="150">
        <v>1</v>
      </c>
      <c r="F17" s="146">
        <v>500</v>
      </c>
      <c r="G17" s="42">
        <f t="shared" si="0"/>
        <v>500</v>
      </c>
      <c r="H17" s="28"/>
      <c r="I17" s="7"/>
      <c r="J17" s="28">
        <f>ROUNDUP(E17*L17/S17,0)</f>
        <v>1</v>
      </c>
      <c r="K17" s="28"/>
      <c r="L17" s="28">
        <v>1</v>
      </c>
      <c r="M17" s="28"/>
      <c r="N17" s="166">
        <f t="shared" si="1"/>
        <v>14000</v>
      </c>
      <c r="O17" s="163">
        <v>0</v>
      </c>
      <c r="P17" s="179">
        <f t="shared" si="2"/>
        <v>0</v>
      </c>
      <c r="Q17" s="184">
        <f t="shared" si="3"/>
        <v>18200</v>
      </c>
      <c r="R17" s="163"/>
      <c r="S17" s="157">
        <v>50</v>
      </c>
      <c r="T17" s="157">
        <v>14000</v>
      </c>
      <c r="U17" s="157">
        <v>1</v>
      </c>
      <c r="V17" s="157"/>
    </row>
    <row r="18" spans="1:22" s="139" customFormat="1" ht="79.95" customHeight="1" x14ac:dyDescent="0.3">
      <c r="A18" s="28">
        <f t="shared" si="4"/>
        <v>5</v>
      </c>
      <c r="B18" s="231" t="s">
        <v>635</v>
      </c>
      <c r="C18" s="232"/>
      <c r="D18" s="149" t="s">
        <v>8</v>
      </c>
      <c r="E18" s="150">
        <v>1</v>
      </c>
      <c r="F18" s="146">
        <v>25000</v>
      </c>
      <c r="G18" s="42">
        <f t="shared" si="0"/>
        <v>25000</v>
      </c>
      <c r="H18" s="28"/>
      <c r="I18" s="7"/>
      <c r="J18" s="28"/>
      <c r="K18" s="28"/>
      <c r="L18" s="28">
        <v>1</v>
      </c>
      <c r="M18" s="28"/>
      <c r="N18" s="166">
        <f t="shared" si="1"/>
        <v>5000</v>
      </c>
      <c r="O18" s="163">
        <f>4000*0.22</f>
        <v>880</v>
      </c>
      <c r="P18" s="179">
        <f t="shared" si="2"/>
        <v>880</v>
      </c>
      <c r="Q18" s="185">
        <f t="shared" si="3"/>
        <v>7644</v>
      </c>
      <c r="R18" s="163"/>
      <c r="S18" s="160">
        <v>30</v>
      </c>
      <c r="T18" s="160">
        <v>5000</v>
      </c>
      <c r="U18" s="157">
        <v>1</v>
      </c>
      <c r="V18" s="160"/>
    </row>
    <row r="19" spans="1:22" s="139" customFormat="1" ht="79.95" customHeight="1" x14ac:dyDescent="0.3">
      <c r="A19" s="28">
        <f t="shared" si="4"/>
        <v>6</v>
      </c>
      <c r="B19" s="231" t="s">
        <v>636</v>
      </c>
      <c r="C19" s="232"/>
      <c r="D19" s="149" t="s">
        <v>11</v>
      </c>
      <c r="E19" s="150">
        <v>1</v>
      </c>
      <c r="F19" s="146">
        <v>15000</v>
      </c>
      <c r="G19" s="42">
        <f t="shared" si="0"/>
        <v>15000</v>
      </c>
      <c r="H19" s="28"/>
      <c r="I19" s="7"/>
      <c r="J19" s="28"/>
      <c r="K19" s="28"/>
      <c r="L19" s="28">
        <v>1</v>
      </c>
      <c r="M19" s="28"/>
      <c r="N19" s="166">
        <f t="shared" si="1"/>
        <v>5100</v>
      </c>
      <c r="O19" s="163">
        <f>4000*0.1</f>
        <v>400</v>
      </c>
      <c r="P19" s="179">
        <f t="shared" si="2"/>
        <v>400</v>
      </c>
      <c r="Q19" s="184">
        <f t="shared" si="3"/>
        <v>7150</v>
      </c>
      <c r="R19" s="163"/>
      <c r="S19" s="157">
        <v>34</v>
      </c>
      <c r="T19" s="157">
        <v>5100</v>
      </c>
      <c r="U19" s="157">
        <v>1</v>
      </c>
      <c r="V19" s="157"/>
    </row>
    <row r="20" spans="1:22" s="139" customFormat="1" ht="79.95" customHeight="1" x14ac:dyDescent="0.3">
      <c r="A20" s="28">
        <f t="shared" si="4"/>
        <v>7</v>
      </c>
      <c r="B20" s="220" t="s">
        <v>637</v>
      </c>
      <c r="C20" s="221"/>
      <c r="D20" s="32" t="s">
        <v>252</v>
      </c>
      <c r="E20" s="150">
        <v>1</v>
      </c>
      <c r="F20" s="146">
        <v>2000</v>
      </c>
      <c r="G20" s="42">
        <f t="shared" si="0"/>
        <v>2000</v>
      </c>
      <c r="H20" s="28"/>
      <c r="I20" s="7"/>
      <c r="J20" s="28"/>
      <c r="K20" s="28"/>
      <c r="L20" s="28">
        <v>0.4</v>
      </c>
      <c r="M20" s="28"/>
      <c r="N20" s="166">
        <f t="shared" si="1"/>
        <v>6000</v>
      </c>
      <c r="O20" s="163">
        <f>4000*0.135</f>
        <v>540</v>
      </c>
      <c r="P20" s="179">
        <f t="shared" si="2"/>
        <v>540</v>
      </c>
      <c r="Q20" s="184">
        <f t="shared" si="3"/>
        <v>8502</v>
      </c>
      <c r="R20" s="163"/>
      <c r="S20" s="157">
        <v>16</v>
      </c>
      <c r="T20" s="157">
        <v>6000</v>
      </c>
      <c r="U20" s="157">
        <v>1</v>
      </c>
      <c r="V20" s="157"/>
    </row>
    <row r="21" spans="1:22" s="139" customFormat="1" ht="79.95" customHeight="1" x14ac:dyDescent="0.3">
      <c r="A21" s="28">
        <f t="shared" si="4"/>
        <v>8</v>
      </c>
      <c r="B21" s="220" t="s">
        <v>638</v>
      </c>
      <c r="C21" s="221"/>
      <c r="D21" s="32" t="s">
        <v>252</v>
      </c>
      <c r="E21" s="150">
        <v>1</v>
      </c>
      <c r="F21" s="146">
        <v>2500</v>
      </c>
      <c r="G21" s="42">
        <f t="shared" si="0"/>
        <v>2500</v>
      </c>
      <c r="H21" s="28"/>
      <c r="I21" s="7"/>
      <c r="J21" s="28"/>
      <c r="K21" s="28"/>
      <c r="L21" s="28">
        <v>2</v>
      </c>
      <c r="M21" s="28"/>
      <c r="N21" s="166">
        <f t="shared" si="1"/>
        <v>5100</v>
      </c>
      <c r="O21" s="163">
        <f>4000*0.25</f>
        <v>1000</v>
      </c>
      <c r="P21" s="179">
        <f t="shared" si="2"/>
        <v>1000</v>
      </c>
      <c r="Q21" s="184">
        <f t="shared" si="3"/>
        <v>7930</v>
      </c>
      <c r="R21" s="163"/>
      <c r="S21" s="164">
        <v>34</v>
      </c>
      <c r="T21" s="157">
        <v>5100</v>
      </c>
      <c r="U21" s="157">
        <v>1</v>
      </c>
      <c r="V21" s="157"/>
    </row>
    <row r="22" spans="1:22" s="139" customFormat="1" ht="79.95" customHeight="1" x14ac:dyDescent="0.3">
      <c r="A22" s="28">
        <f t="shared" si="4"/>
        <v>9</v>
      </c>
      <c r="B22" s="220" t="s">
        <v>653</v>
      </c>
      <c r="C22" s="221"/>
      <c r="D22" s="32" t="s">
        <v>252</v>
      </c>
      <c r="E22" s="150">
        <v>1</v>
      </c>
      <c r="F22" s="146">
        <v>1300</v>
      </c>
      <c r="G22" s="42">
        <f t="shared" ref="G22" si="5">E22*F22</f>
        <v>1300</v>
      </c>
      <c r="H22" s="28"/>
      <c r="I22" s="7"/>
      <c r="J22" s="28"/>
      <c r="K22" s="28"/>
      <c r="L22" s="28">
        <v>1</v>
      </c>
      <c r="M22" s="28"/>
      <c r="N22" s="166">
        <f t="shared" ref="N22" si="6">ROUNDUP(E22*L22/S22,0)*T22+ROUNDUP(E22*M22/U22,0)*V22</f>
        <v>6000</v>
      </c>
      <c r="O22" s="163">
        <v>400</v>
      </c>
      <c r="P22" s="179">
        <f t="shared" ref="P22" si="7">E22*O22</f>
        <v>400</v>
      </c>
      <c r="Q22" s="184">
        <f t="shared" ref="Q22" si="8">(K22+(N22+P22))*$R$12</f>
        <v>8320</v>
      </c>
      <c r="R22" s="163"/>
      <c r="S22" s="160">
        <v>15.5</v>
      </c>
      <c r="T22" s="160">
        <v>6000</v>
      </c>
      <c r="U22" s="157">
        <v>1</v>
      </c>
      <c r="V22" s="160"/>
    </row>
    <row r="23" spans="1:22" s="139" customFormat="1" ht="79.95" customHeight="1" x14ac:dyDescent="0.3">
      <c r="A23" s="28">
        <f t="shared" si="4"/>
        <v>10</v>
      </c>
      <c r="B23" s="220" t="s">
        <v>654</v>
      </c>
      <c r="C23" s="221"/>
      <c r="D23" s="32" t="s">
        <v>252</v>
      </c>
      <c r="E23" s="150">
        <v>1</v>
      </c>
      <c r="F23" s="146">
        <v>800</v>
      </c>
      <c r="G23" s="42">
        <f t="shared" ref="G23:G24" si="9">E23*F23</f>
        <v>800</v>
      </c>
      <c r="H23" s="28"/>
      <c r="I23" s="7"/>
      <c r="J23" s="28"/>
      <c r="K23" s="28"/>
      <c r="L23" s="28">
        <v>1</v>
      </c>
      <c r="M23" s="28"/>
      <c r="N23" s="166">
        <f t="shared" ref="N23:N24" si="10">ROUNDUP(E23*L23/S23,0)*T23+ROUNDUP(E23*M23/U23,0)*V23</f>
        <v>6000</v>
      </c>
      <c r="O23" s="163">
        <v>400</v>
      </c>
      <c r="P23" s="179">
        <f t="shared" ref="P23:P24" si="11">E23*O23</f>
        <v>400</v>
      </c>
      <c r="Q23" s="184">
        <f t="shared" ref="Q23:Q24" si="12">(K23+(N23+P23))*$R$12</f>
        <v>8320</v>
      </c>
      <c r="R23" s="163"/>
      <c r="S23" s="160">
        <v>30</v>
      </c>
      <c r="T23" s="160">
        <v>6000</v>
      </c>
      <c r="U23" s="157">
        <v>1</v>
      </c>
      <c r="V23" s="160"/>
    </row>
    <row r="24" spans="1:22" s="139" customFormat="1" ht="79.95" customHeight="1" x14ac:dyDescent="0.3">
      <c r="A24" s="28">
        <f t="shared" ref="A24" si="13">ROW()-12</f>
        <v>12</v>
      </c>
      <c r="B24" s="220" t="s">
        <v>657</v>
      </c>
      <c r="C24" s="221"/>
      <c r="D24" s="32" t="s">
        <v>252</v>
      </c>
      <c r="E24" s="150">
        <f>E21</f>
        <v>1</v>
      </c>
      <c r="F24" s="146">
        <v>850</v>
      </c>
      <c r="G24" s="42">
        <f t="shared" si="9"/>
        <v>850</v>
      </c>
      <c r="H24" s="28"/>
      <c r="I24" s="7"/>
      <c r="J24" s="28"/>
      <c r="K24" s="28"/>
      <c r="L24" s="28">
        <v>0.8</v>
      </c>
      <c r="M24" s="28"/>
      <c r="N24" s="166">
        <f t="shared" si="10"/>
        <v>3400</v>
      </c>
      <c r="O24" s="163">
        <v>400</v>
      </c>
      <c r="P24" s="179">
        <f t="shared" si="11"/>
        <v>400</v>
      </c>
      <c r="Q24" s="184">
        <f t="shared" si="12"/>
        <v>4940</v>
      </c>
      <c r="R24" s="163"/>
      <c r="S24" s="160">
        <v>20</v>
      </c>
      <c r="T24" s="160">
        <v>3400</v>
      </c>
      <c r="U24" s="157">
        <v>1</v>
      </c>
      <c r="V24" s="160"/>
    </row>
    <row r="25" spans="1:22" s="139" customFormat="1" ht="79.95" customHeight="1" x14ac:dyDescent="0.3">
      <c r="A25" s="28">
        <f t="shared" si="4"/>
        <v>12</v>
      </c>
      <c r="B25" s="220" t="s">
        <v>651</v>
      </c>
      <c r="C25" s="221"/>
      <c r="D25" s="32" t="s">
        <v>252</v>
      </c>
      <c r="E25" s="150">
        <v>1</v>
      </c>
      <c r="F25" s="146">
        <v>1100</v>
      </c>
      <c r="G25" s="42">
        <f t="shared" si="0"/>
        <v>1100</v>
      </c>
      <c r="H25" s="28"/>
      <c r="I25" s="7"/>
      <c r="J25" s="28"/>
      <c r="K25" s="28"/>
      <c r="L25" s="28">
        <v>1.2</v>
      </c>
      <c r="M25" s="28"/>
      <c r="N25" s="166">
        <f t="shared" si="1"/>
        <v>3400</v>
      </c>
      <c r="O25" s="163">
        <v>500</v>
      </c>
      <c r="P25" s="179">
        <f t="shared" si="2"/>
        <v>500</v>
      </c>
      <c r="Q25" s="184">
        <f t="shared" si="3"/>
        <v>5070</v>
      </c>
      <c r="R25" s="163"/>
      <c r="S25" s="160">
        <v>20</v>
      </c>
      <c r="T25" s="160">
        <v>3400</v>
      </c>
      <c r="U25" s="157">
        <v>1</v>
      </c>
      <c r="V25" s="160"/>
    </row>
    <row r="26" spans="1:22" s="139" customFormat="1" ht="79.95" customHeight="1" x14ac:dyDescent="0.3">
      <c r="A26" s="28">
        <f t="shared" si="4"/>
        <v>13</v>
      </c>
      <c r="B26" s="220" t="s">
        <v>589</v>
      </c>
      <c r="C26" s="221"/>
      <c r="D26" s="32" t="s">
        <v>252</v>
      </c>
      <c r="E26" s="150">
        <v>1</v>
      </c>
      <c r="F26" s="146">
        <v>300</v>
      </c>
      <c r="G26" s="42">
        <f t="shared" si="0"/>
        <v>300</v>
      </c>
      <c r="H26" s="28"/>
      <c r="I26" s="7"/>
      <c r="J26" s="28"/>
      <c r="K26" s="28"/>
      <c r="L26" s="28">
        <v>1</v>
      </c>
      <c r="M26" s="28"/>
      <c r="N26" s="166">
        <f t="shared" si="1"/>
        <v>1</v>
      </c>
      <c r="O26" s="163"/>
      <c r="P26" s="179">
        <f t="shared" si="2"/>
        <v>0</v>
      </c>
      <c r="Q26" s="184">
        <f t="shared" si="3"/>
        <v>1.3</v>
      </c>
      <c r="R26" s="163"/>
      <c r="S26" s="160">
        <v>1</v>
      </c>
      <c r="T26" s="160">
        <v>1</v>
      </c>
      <c r="U26" s="160">
        <v>1</v>
      </c>
      <c r="V26" s="160">
        <v>1</v>
      </c>
    </row>
    <row r="27" spans="1:22" s="139" customFormat="1" ht="79.95" customHeight="1" x14ac:dyDescent="0.3">
      <c r="A27" s="28">
        <f t="shared" si="4"/>
        <v>14</v>
      </c>
      <c r="B27" s="220" t="s">
        <v>655</v>
      </c>
      <c r="C27" s="221"/>
      <c r="D27" s="32" t="s">
        <v>252</v>
      </c>
      <c r="E27" s="150">
        <v>1</v>
      </c>
      <c r="F27" s="146">
        <v>600</v>
      </c>
      <c r="G27" s="42">
        <f t="shared" si="0"/>
        <v>600</v>
      </c>
      <c r="H27" s="28"/>
      <c r="I27" s="7"/>
      <c r="J27" s="28"/>
      <c r="K27" s="28"/>
      <c r="L27" s="28">
        <v>0.5</v>
      </c>
      <c r="M27" s="28">
        <v>0.5</v>
      </c>
      <c r="N27" s="166">
        <f t="shared" si="1"/>
        <v>601</v>
      </c>
      <c r="O27" s="163"/>
      <c r="P27" s="179">
        <f t="shared" si="2"/>
        <v>0</v>
      </c>
      <c r="Q27" s="184">
        <f t="shared" si="3"/>
        <v>781.30000000000007</v>
      </c>
      <c r="R27" s="163"/>
      <c r="S27" s="160">
        <v>25</v>
      </c>
      <c r="T27" s="160">
        <v>600</v>
      </c>
      <c r="U27" s="160">
        <v>1</v>
      </c>
      <c r="V27" s="160">
        <v>1</v>
      </c>
    </row>
    <row r="28" spans="1:22" s="139" customFormat="1" ht="79.95" customHeight="1" x14ac:dyDescent="0.3">
      <c r="A28" s="28">
        <f t="shared" si="4"/>
        <v>15</v>
      </c>
      <c r="B28" s="220" t="s">
        <v>590</v>
      </c>
      <c r="C28" s="221"/>
      <c r="D28" s="149" t="s">
        <v>7</v>
      </c>
      <c r="E28" s="150">
        <v>1</v>
      </c>
      <c r="F28" s="146">
        <v>1000</v>
      </c>
      <c r="G28" s="42">
        <f>E28*F28</f>
        <v>1000</v>
      </c>
      <c r="H28" s="28"/>
      <c r="I28" s="7"/>
      <c r="J28" s="28"/>
      <c r="K28" s="28"/>
      <c r="L28" s="28">
        <v>100</v>
      </c>
      <c r="M28" s="28"/>
      <c r="N28" s="166">
        <f t="shared" si="1"/>
        <v>400</v>
      </c>
      <c r="O28" s="163"/>
      <c r="P28" s="179">
        <f t="shared" si="2"/>
        <v>0</v>
      </c>
      <c r="Q28" s="184">
        <f t="shared" si="3"/>
        <v>520</v>
      </c>
      <c r="R28" s="163"/>
      <c r="S28" s="160">
        <v>300</v>
      </c>
      <c r="T28" s="160">
        <v>400</v>
      </c>
      <c r="U28" s="160">
        <v>1</v>
      </c>
      <c r="V28" s="160">
        <v>1</v>
      </c>
    </row>
    <row r="29" spans="1:22" s="139" customFormat="1" ht="79.95" customHeight="1" x14ac:dyDescent="0.3">
      <c r="A29" s="28">
        <f t="shared" si="4"/>
        <v>16</v>
      </c>
      <c r="B29" s="220" t="s">
        <v>639</v>
      </c>
      <c r="C29" s="221"/>
      <c r="D29" s="32" t="s">
        <v>252</v>
      </c>
      <c r="E29" s="150">
        <v>1</v>
      </c>
      <c r="F29" s="146">
        <v>3000</v>
      </c>
      <c r="G29" s="42">
        <f>E29*F29</f>
        <v>3000</v>
      </c>
      <c r="H29" s="28"/>
      <c r="I29" s="7"/>
      <c r="J29" s="28"/>
      <c r="K29" s="28"/>
      <c r="L29" s="28">
        <v>0.6</v>
      </c>
      <c r="M29" s="28"/>
      <c r="N29" s="166">
        <f>ROUNDUP(E29*L29/S29,0)*T29+ROUNDUP(E29*M29/U29,0)*V29</f>
        <v>9600</v>
      </c>
      <c r="O29" s="163"/>
      <c r="P29" s="179">
        <f t="shared" si="2"/>
        <v>0</v>
      </c>
      <c r="Q29" s="184">
        <f t="shared" si="3"/>
        <v>12480</v>
      </c>
      <c r="R29" s="163"/>
      <c r="S29" s="160">
        <v>20</v>
      </c>
      <c r="T29" s="160">
        <f>480*S29</f>
        <v>9600</v>
      </c>
      <c r="U29" s="160">
        <v>1</v>
      </c>
      <c r="V29" s="160"/>
    </row>
    <row r="30" spans="1:22" s="144" customFormat="1" ht="79.95" customHeight="1" x14ac:dyDescent="0.3">
      <c r="A30" s="28">
        <f t="shared" si="4"/>
        <v>17</v>
      </c>
      <c r="B30" s="236" t="s">
        <v>684</v>
      </c>
      <c r="C30" s="237"/>
      <c r="D30" s="32" t="s">
        <v>252</v>
      </c>
      <c r="E30" s="37">
        <v>1</v>
      </c>
      <c r="F30" s="146">
        <v>1000</v>
      </c>
      <c r="G30" s="147">
        <f t="shared" ref="G30" si="14">E30*F30</f>
        <v>1000</v>
      </c>
      <c r="H30" s="32"/>
      <c r="I30" s="148"/>
      <c r="J30" s="32"/>
      <c r="K30" s="32"/>
      <c r="L30" s="32">
        <v>0.6</v>
      </c>
      <c r="M30" s="32"/>
      <c r="N30" s="166">
        <f t="shared" ref="N30" si="15">ROUNDUP(E30*L30/S30,0)*T30+ROUNDUP(E30*M30/U30,0)*V30</f>
        <v>7000</v>
      </c>
      <c r="O30" s="167"/>
      <c r="P30" s="179">
        <f t="shared" si="2"/>
        <v>0</v>
      </c>
      <c r="Q30" s="184">
        <f t="shared" si="3"/>
        <v>9100</v>
      </c>
      <c r="R30" s="167"/>
      <c r="S30" s="157">
        <v>20</v>
      </c>
      <c r="T30" s="168">
        <v>7000</v>
      </c>
      <c r="U30" s="157">
        <v>20</v>
      </c>
      <c r="V30" s="168"/>
    </row>
    <row r="31" spans="1:22" s="139" customFormat="1" ht="79.95" customHeight="1" x14ac:dyDescent="0.3">
      <c r="A31" s="28">
        <f t="shared" si="4"/>
        <v>18</v>
      </c>
      <c r="B31" s="220" t="s">
        <v>640</v>
      </c>
      <c r="C31" s="221"/>
      <c r="D31" s="32" t="s">
        <v>252</v>
      </c>
      <c r="E31" s="150">
        <v>1</v>
      </c>
      <c r="F31" s="146">
        <v>500</v>
      </c>
      <c r="G31" s="42">
        <f t="shared" si="0"/>
        <v>500</v>
      </c>
      <c r="H31" s="28"/>
      <c r="I31" s="7"/>
      <c r="J31" s="28"/>
      <c r="K31" s="28"/>
      <c r="L31" s="28">
        <v>0.8</v>
      </c>
      <c r="M31" s="28"/>
      <c r="N31" s="166">
        <f t="shared" ref="N31:N42" si="16">ROUNDUP(E31*L31/S31,0)*T31+ROUNDUP(E31*M31/U31,0)*V31</f>
        <v>4500</v>
      </c>
      <c r="O31" s="163"/>
      <c r="P31" s="179">
        <f t="shared" si="2"/>
        <v>0</v>
      </c>
      <c r="Q31" s="184">
        <f t="shared" si="3"/>
        <v>5850</v>
      </c>
      <c r="R31" s="163"/>
      <c r="S31" s="160">
        <v>10</v>
      </c>
      <c r="T31" s="160">
        <f>450*10</f>
        <v>4500</v>
      </c>
      <c r="U31" s="160">
        <v>1</v>
      </c>
      <c r="V31" s="160"/>
    </row>
    <row r="32" spans="1:22" s="139" customFormat="1" ht="79.95" customHeight="1" x14ac:dyDescent="0.3">
      <c r="A32" s="28">
        <f t="shared" si="4"/>
        <v>19</v>
      </c>
      <c r="B32" s="220" t="s">
        <v>641</v>
      </c>
      <c r="C32" s="221"/>
      <c r="D32" s="32" t="s">
        <v>252</v>
      </c>
      <c r="E32" s="150">
        <v>1</v>
      </c>
      <c r="F32" s="146">
        <v>1000</v>
      </c>
      <c r="G32" s="42">
        <f t="shared" si="0"/>
        <v>1000</v>
      </c>
      <c r="H32" s="28"/>
      <c r="I32" s="7"/>
      <c r="J32" s="28"/>
      <c r="K32" s="28"/>
      <c r="L32" s="28">
        <v>0.5</v>
      </c>
      <c r="M32" s="28"/>
      <c r="N32" s="166">
        <f t="shared" si="16"/>
        <v>150</v>
      </c>
      <c r="O32" s="163"/>
      <c r="P32" s="179">
        <f t="shared" si="2"/>
        <v>0</v>
      </c>
      <c r="Q32" s="184">
        <f t="shared" si="3"/>
        <v>195</v>
      </c>
      <c r="R32" s="163"/>
      <c r="S32" s="157">
        <v>750</v>
      </c>
      <c r="T32" s="165">
        <v>150</v>
      </c>
      <c r="U32" s="160">
        <v>1</v>
      </c>
      <c r="V32" s="165"/>
    </row>
    <row r="33" spans="1:22" s="139" customFormat="1" ht="79.95" customHeight="1" x14ac:dyDescent="0.3">
      <c r="A33" s="28">
        <f t="shared" si="4"/>
        <v>20</v>
      </c>
      <c r="B33" s="240" t="s">
        <v>550</v>
      </c>
      <c r="C33" s="241"/>
      <c r="D33" s="149" t="s">
        <v>3</v>
      </c>
      <c r="E33" s="150">
        <v>1</v>
      </c>
      <c r="F33" s="146">
        <v>200</v>
      </c>
      <c r="G33" s="42">
        <f t="shared" si="0"/>
        <v>200</v>
      </c>
      <c r="H33" s="28" t="s">
        <v>566</v>
      </c>
      <c r="I33" s="7"/>
      <c r="J33" s="28"/>
      <c r="K33" s="28"/>
      <c r="L33" s="28"/>
      <c r="M33" s="28"/>
      <c r="N33" s="166">
        <f t="shared" si="16"/>
        <v>0</v>
      </c>
      <c r="O33" s="163"/>
      <c r="P33" s="179">
        <f t="shared" si="2"/>
        <v>0</v>
      </c>
      <c r="Q33" s="184">
        <f t="shared" si="3"/>
        <v>0</v>
      </c>
      <c r="R33" s="163"/>
      <c r="S33" s="157">
        <v>600</v>
      </c>
      <c r="T33" s="157">
        <v>300</v>
      </c>
      <c r="U33" s="160">
        <v>1</v>
      </c>
      <c r="V33" s="157"/>
    </row>
    <row r="34" spans="1:22" s="139" customFormat="1" ht="79.95" customHeight="1" x14ac:dyDescent="0.3">
      <c r="A34" s="28">
        <f t="shared" si="4"/>
        <v>21</v>
      </c>
      <c r="B34" s="240" t="s">
        <v>658</v>
      </c>
      <c r="C34" s="241"/>
      <c r="D34" s="149" t="s">
        <v>3</v>
      </c>
      <c r="E34" s="150">
        <v>1</v>
      </c>
      <c r="F34" s="146">
        <v>800</v>
      </c>
      <c r="G34" s="42">
        <f t="shared" ref="G34" si="17">E34*F34</f>
        <v>800</v>
      </c>
      <c r="H34" s="28"/>
      <c r="I34" s="7"/>
      <c r="J34" s="28"/>
      <c r="K34" s="28"/>
      <c r="L34" s="28">
        <v>145</v>
      </c>
      <c r="M34" s="28"/>
      <c r="N34" s="166">
        <f t="shared" ref="N34" si="18">ROUNDUP(E34*L34/S34,0)*T34+ROUNDUP(E34*M34/U34,0)*V34</f>
        <v>340</v>
      </c>
      <c r="O34" s="163"/>
      <c r="P34" s="179">
        <f t="shared" ref="P34" si="19">E34*O34</f>
        <v>0</v>
      </c>
      <c r="Q34" s="184">
        <f t="shared" ref="Q34" si="20">(K34+(N34+P34))*$R$12</f>
        <v>442</v>
      </c>
      <c r="R34" s="163"/>
      <c r="S34" s="157">
        <v>600</v>
      </c>
      <c r="T34" s="157">
        <v>340</v>
      </c>
      <c r="U34" s="160">
        <v>1</v>
      </c>
      <c r="V34" s="157"/>
    </row>
    <row r="35" spans="1:22" s="139" customFormat="1" ht="79.95" customHeight="1" x14ac:dyDescent="0.3">
      <c r="A35" s="28">
        <f t="shared" si="4"/>
        <v>22</v>
      </c>
      <c r="B35" s="240" t="s">
        <v>551</v>
      </c>
      <c r="C35" s="241"/>
      <c r="D35" s="149" t="s">
        <v>3</v>
      </c>
      <c r="E35" s="150">
        <v>1</v>
      </c>
      <c r="F35" s="146">
        <v>800</v>
      </c>
      <c r="G35" s="42">
        <f t="shared" si="0"/>
        <v>800</v>
      </c>
      <c r="H35" s="28"/>
      <c r="I35" s="7"/>
      <c r="J35" s="28"/>
      <c r="K35" s="28"/>
      <c r="L35" s="28">
        <v>145</v>
      </c>
      <c r="M35" s="28"/>
      <c r="N35" s="166">
        <f t="shared" si="16"/>
        <v>340</v>
      </c>
      <c r="O35" s="163"/>
      <c r="P35" s="179">
        <f t="shared" si="2"/>
        <v>0</v>
      </c>
      <c r="Q35" s="184">
        <f t="shared" si="3"/>
        <v>442</v>
      </c>
      <c r="R35" s="163"/>
      <c r="S35" s="157">
        <v>600</v>
      </c>
      <c r="T35" s="157">
        <v>340</v>
      </c>
      <c r="U35" s="160">
        <v>1</v>
      </c>
      <c r="V35" s="157"/>
    </row>
    <row r="36" spans="1:22" s="139" customFormat="1" ht="79.95" customHeight="1" x14ac:dyDescent="0.3">
      <c r="A36" s="28">
        <f t="shared" si="4"/>
        <v>23</v>
      </c>
      <c r="B36" s="240" t="s">
        <v>552</v>
      </c>
      <c r="C36" s="241"/>
      <c r="D36" s="149" t="s">
        <v>3</v>
      </c>
      <c r="E36" s="150">
        <v>1</v>
      </c>
      <c r="F36" s="146">
        <v>700</v>
      </c>
      <c r="G36" s="42">
        <f t="shared" si="0"/>
        <v>700</v>
      </c>
      <c r="H36" s="28"/>
      <c r="I36" s="7"/>
      <c r="J36" s="28"/>
      <c r="K36" s="28"/>
      <c r="L36" s="28">
        <v>145</v>
      </c>
      <c r="M36" s="28"/>
      <c r="N36" s="166">
        <f t="shared" si="16"/>
        <v>280</v>
      </c>
      <c r="O36" s="163"/>
      <c r="P36" s="179">
        <f t="shared" si="2"/>
        <v>0</v>
      </c>
      <c r="Q36" s="184">
        <f t="shared" si="3"/>
        <v>364</v>
      </c>
      <c r="R36" s="163"/>
      <c r="S36" s="157">
        <v>600</v>
      </c>
      <c r="T36" s="157">
        <v>280</v>
      </c>
      <c r="U36" s="160">
        <v>1</v>
      </c>
      <c r="V36" s="157"/>
    </row>
    <row r="37" spans="1:22" s="139" customFormat="1" ht="79.95" customHeight="1" x14ac:dyDescent="0.3">
      <c r="A37" s="28">
        <f t="shared" si="4"/>
        <v>24</v>
      </c>
      <c r="B37" s="240" t="s">
        <v>553</v>
      </c>
      <c r="C37" s="241"/>
      <c r="D37" s="149" t="s">
        <v>8</v>
      </c>
      <c r="E37" s="150">
        <v>1</v>
      </c>
      <c r="F37" s="146">
        <v>8000</v>
      </c>
      <c r="G37" s="42">
        <f t="shared" si="0"/>
        <v>8000</v>
      </c>
      <c r="H37" s="28"/>
      <c r="I37" s="7"/>
      <c r="J37" s="28"/>
      <c r="K37" s="28"/>
      <c r="L37" s="28"/>
      <c r="M37" s="28"/>
      <c r="N37" s="166" t="e">
        <f t="shared" si="16"/>
        <v>#DIV/0!</v>
      </c>
      <c r="O37" s="163"/>
      <c r="P37" s="179">
        <f t="shared" si="2"/>
        <v>0</v>
      </c>
      <c r="Q37" s="184" t="e">
        <f t="shared" si="3"/>
        <v>#DIV/0!</v>
      </c>
      <c r="R37" s="163"/>
      <c r="S37" s="157"/>
      <c r="T37" s="157"/>
      <c r="U37" s="157"/>
      <c r="V37" s="157"/>
    </row>
    <row r="38" spans="1:22" s="139" customFormat="1" ht="79.95" customHeight="1" x14ac:dyDescent="0.3">
      <c r="A38" s="28">
        <f t="shared" si="4"/>
        <v>25</v>
      </c>
      <c r="B38" s="240" t="s">
        <v>251</v>
      </c>
      <c r="C38" s="241"/>
      <c r="D38" s="149" t="s">
        <v>8</v>
      </c>
      <c r="E38" s="150">
        <v>1</v>
      </c>
      <c r="F38" s="146">
        <v>4000</v>
      </c>
      <c r="G38" s="42">
        <f t="shared" si="0"/>
        <v>4000</v>
      </c>
      <c r="H38" s="28"/>
      <c r="I38" s="7"/>
      <c r="J38" s="28"/>
      <c r="K38" s="28"/>
      <c r="L38" s="28"/>
      <c r="M38" s="28"/>
      <c r="N38" s="166" t="e">
        <f t="shared" si="16"/>
        <v>#DIV/0!</v>
      </c>
      <c r="O38" s="163"/>
      <c r="P38" s="179">
        <f t="shared" si="2"/>
        <v>0</v>
      </c>
      <c r="Q38" s="184" t="e">
        <f t="shared" si="3"/>
        <v>#DIV/0!</v>
      </c>
      <c r="R38" s="163"/>
      <c r="S38" s="157"/>
      <c r="T38" s="157"/>
      <c r="U38" s="157"/>
      <c r="V38" s="157"/>
    </row>
    <row r="39" spans="1:22" s="139" customFormat="1" ht="79.95" customHeight="1" x14ac:dyDescent="0.3">
      <c r="A39" s="28">
        <f t="shared" si="4"/>
        <v>26</v>
      </c>
      <c r="B39" s="220" t="s">
        <v>666</v>
      </c>
      <c r="C39" s="232"/>
      <c r="D39" s="149" t="s">
        <v>8</v>
      </c>
      <c r="E39" s="150">
        <v>1</v>
      </c>
      <c r="F39" s="146">
        <v>3000</v>
      </c>
      <c r="G39" s="42">
        <f t="shared" si="0"/>
        <v>3000</v>
      </c>
      <c r="H39" s="28"/>
      <c r="I39" s="7"/>
      <c r="J39" s="28"/>
      <c r="K39" s="28"/>
      <c r="L39" s="28"/>
      <c r="M39" s="28"/>
      <c r="N39" s="166">
        <f t="shared" si="16"/>
        <v>0</v>
      </c>
      <c r="O39" s="163"/>
      <c r="P39" s="179">
        <f t="shared" si="2"/>
        <v>0</v>
      </c>
      <c r="Q39" s="184">
        <f t="shared" si="3"/>
        <v>0</v>
      </c>
      <c r="R39" s="163"/>
      <c r="S39" s="157">
        <v>30</v>
      </c>
      <c r="T39" s="157">
        <v>2850</v>
      </c>
      <c r="U39" s="157">
        <v>30</v>
      </c>
      <c r="V39" s="157">
        <v>2850</v>
      </c>
    </row>
    <row r="40" spans="1:22" s="139" customFormat="1" ht="79.95" customHeight="1" x14ac:dyDescent="0.3">
      <c r="A40" s="28">
        <f t="shared" si="4"/>
        <v>27</v>
      </c>
      <c r="B40" s="240" t="s">
        <v>554</v>
      </c>
      <c r="C40" s="241"/>
      <c r="D40" s="149" t="s">
        <v>3</v>
      </c>
      <c r="E40" s="150">
        <v>1</v>
      </c>
      <c r="F40" s="146">
        <v>1000</v>
      </c>
      <c r="G40" s="42">
        <f t="shared" si="0"/>
        <v>1000</v>
      </c>
      <c r="H40" s="28"/>
      <c r="I40" s="7"/>
      <c r="J40" s="28"/>
      <c r="K40" s="28"/>
      <c r="L40" s="28"/>
      <c r="M40" s="28"/>
      <c r="N40" s="166">
        <f t="shared" si="16"/>
        <v>0</v>
      </c>
      <c r="O40" s="163"/>
      <c r="P40" s="179">
        <f t="shared" si="2"/>
        <v>0</v>
      </c>
      <c r="Q40" s="184">
        <f t="shared" si="3"/>
        <v>0</v>
      </c>
      <c r="R40" s="163"/>
      <c r="S40" s="157">
        <v>30</v>
      </c>
      <c r="T40" s="157">
        <v>2850</v>
      </c>
      <c r="U40" s="157">
        <v>30</v>
      </c>
      <c r="V40" s="157">
        <v>2850</v>
      </c>
    </row>
    <row r="41" spans="1:22" s="139" customFormat="1" ht="79.95" customHeight="1" x14ac:dyDescent="0.3">
      <c r="A41" s="28">
        <f t="shared" si="4"/>
        <v>28</v>
      </c>
      <c r="B41" s="240" t="s">
        <v>664</v>
      </c>
      <c r="C41" s="241"/>
      <c r="D41" s="149" t="s">
        <v>11</v>
      </c>
      <c r="E41" s="150">
        <v>1</v>
      </c>
      <c r="F41" s="146">
        <f>SUM(G14:G40)*0.12</f>
        <v>13434</v>
      </c>
      <c r="G41" s="42">
        <f t="shared" si="0"/>
        <v>13434</v>
      </c>
      <c r="H41" s="28"/>
      <c r="I41" s="7"/>
      <c r="J41" s="28"/>
      <c r="K41" s="28"/>
      <c r="L41" s="28"/>
      <c r="M41" s="28"/>
      <c r="N41" s="166">
        <f t="shared" si="16"/>
        <v>0</v>
      </c>
      <c r="O41" s="163"/>
      <c r="P41" s="179">
        <f t="shared" si="2"/>
        <v>0</v>
      </c>
      <c r="Q41" s="184">
        <f t="shared" si="3"/>
        <v>0</v>
      </c>
      <c r="R41" s="163"/>
      <c r="S41" s="160">
        <v>15.5</v>
      </c>
      <c r="T41" s="160">
        <v>6000</v>
      </c>
      <c r="U41" s="160">
        <v>15.5</v>
      </c>
      <c r="V41" s="160">
        <v>6000</v>
      </c>
    </row>
    <row r="42" spans="1:22" s="139" customFormat="1" ht="79.95" customHeight="1" x14ac:dyDescent="0.3">
      <c r="A42" s="28">
        <f t="shared" si="4"/>
        <v>29</v>
      </c>
      <c r="B42" s="220" t="s">
        <v>556</v>
      </c>
      <c r="C42" s="221"/>
      <c r="D42" s="28" t="s">
        <v>11</v>
      </c>
      <c r="E42" s="150">
        <v>1</v>
      </c>
      <c r="F42" s="146">
        <v>-1000</v>
      </c>
      <c r="G42" s="42">
        <f t="shared" si="0"/>
        <v>-1000</v>
      </c>
      <c r="H42" s="28"/>
      <c r="I42" s="7"/>
      <c r="J42" s="28"/>
      <c r="K42" s="28"/>
      <c r="L42" s="28"/>
      <c r="M42" s="28"/>
      <c r="N42" s="166">
        <f t="shared" si="16"/>
        <v>0</v>
      </c>
      <c r="O42" s="163"/>
      <c r="P42" s="179">
        <f t="shared" si="2"/>
        <v>0</v>
      </c>
      <c r="Q42" s="184">
        <f t="shared" si="3"/>
        <v>0</v>
      </c>
      <c r="R42" s="163"/>
      <c r="S42" s="157">
        <v>20</v>
      </c>
      <c r="T42" s="157">
        <v>3400</v>
      </c>
      <c r="U42" s="157">
        <v>20</v>
      </c>
      <c r="V42" s="157">
        <v>3400</v>
      </c>
    </row>
    <row r="43" spans="1:22" s="145" customFormat="1" x14ac:dyDescent="0.3">
      <c r="A43" s="28"/>
      <c r="B43" s="215" t="s">
        <v>481</v>
      </c>
      <c r="C43" s="216"/>
      <c r="D43" s="28"/>
      <c r="E43" s="37"/>
      <c r="F43" s="94"/>
      <c r="G43" s="156">
        <f>SUM(G14:G42)</f>
        <v>124384</v>
      </c>
      <c r="H43" s="28"/>
      <c r="I43" s="7"/>
      <c r="J43" s="170"/>
      <c r="K43" s="170"/>
      <c r="L43" s="170"/>
      <c r="M43" s="170"/>
      <c r="N43" s="171"/>
      <c r="O43" s="171"/>
      <c r="P43" s="171"/>
      <c r="Q43" s="182"/>
      <c r="R43" s="171"/>
      <c r="S43" s="172"/>
      <c r="T43" s="172"/>
      <c r="U43" s="172"/>
      <c r="V43" s="172"/>
    </row>
    <row r="44" spans="1:22" s="145" customFormat="1" x14ac:dyDescent="0.3">
      <c r="A44" s="28"/>
      <c r="B44" s="215" t="s">
        <v>482</v>
      </c>
      <c r="C44" s="216"/>
      <c r="D44" s="28"/>
      <c r="E44" s="37"/>
      <c r="F44" s="94"/>
      <c r="G44" s="156">
        <f>G43*0.05</f>
        <v>6219.2000000000007</v>
      </c>
      <c r="H44" s="28"/>
      <c r="I44" s="7"/>
      <c r="J44" s="170"/>
      <c r="K44" s="170"/>
      <c r="L44" s="170"/>
      <c r="M44" s="170"/>
      <c r="N44" s="171"/>
      <c r="O44" s="171"/>
      <c r="P44" s="171"/>
      <c r="Q44" s="182"/>
      <c r="R44" s="171"/>
      <c r="S44" s="172"/>
      <c r="T44" s="172"/>
      <c r="U44" s="172"/>
      <c r="V44" s="172"/>
    </row>
    <row r="45" spans="1:22" ht="30" customHeight="1" x14ac:dyDescent="0.3">
      <c r="A45" s="28"/>
      <c r="B45" s="238" t="s">
        <v>16</v>
      </c>
      <c r="C45" s="239"/>
      <c r="D45" s="28"/>
      <c r="E45" s="68"/>
      <c r="F45" s="49"/>
      <c r="G45" s="155">
        <f>G43+G44</f>
        <v>130603.2</v>
      </c>
      <c r="H45" s="78"/>
      <c r="I45" s="159"/>
      <c r="J45" s="28"/>
      <c r="K45" s="28"/>
      <c r="L45" s="28"/>
      <c r="M45" s="28"/>
      <c r="N45" s="28"/>
      <c r="O45" s="43"/>
      <c r="P45" s="43"/>
      <c r="Q45" s="183"/>
      <c r="R45" s="43"/>
      <c r="S45" s="28"/>
      <c r="T45" s="28"/>
      <c r="U45" s="28"/>
      <c r="V45" s="28"/>
    </row>
    <row r="46" spans="1:22" x14ac:dyDescent="0.3">
      <c r="A46" s="228" t="s">
        <v>17</v>
      </c>
      <c r="B46" s="193">
        <f>ROW()-40</f>
        <v>6</v>
      </c>
      <c r="C46" s="227" t="s">
        <v>600</v>
      </c>
      <c r="D46" s="227"/>
      <c r="E46" s="227"/>
      <c r="F46" s="227"/>
      <c r="G46" s="227"/>
      <c r="H46" s="227"/>
      <c r="J46" s="43"/>
      <c r="K46" s="43"/>
      <c r="L46" s="43"/>
      <c r="M46" s="43"/>
      <c r="N46" s="43"/>
      <c r="O46" s="43"/>
      <c r="P46" s="43"/>
      <c r="Q46" s="183"/>
      <c r="R46" s="43"/>
      <c r="S46" s="28"/>
      <c r="T46" s="28"/>
      <c r="U46" s="28"/>
      <c r="V46" s="28"/>
    </row>
    <row r="47" spans="1:22" x14ac:dyDescent="0.3">
      <c r="A47" s="228"/>
      <c r="B47" s="193">
        <f t="shared" ref="B47:B53" si="21">ROW()-40</f>
        <v>7</v>
      </c>
      <c r="C47" s="227" t="s">
        <v>601</v>
      </c>
      <c r="D47" s="227"/>
      <c r="E47" s="227"/>
      <c r="F47" s="227"/>
      <c r="G47" s="227"/>
      <c r="H47" s="227"/>
      <c r="J47" s="43"/>
      <c r="K47" s="43"/>
      <c r="L47" s="43"/>
      <c r="M47" s="43"/>
      <c r="N47" s="43"/>
      <c r="O47" s="43"/>
      <c r="P47" s="43"/>
      <c r="Q47" s="183"/>
      <c r="R47" s="43"/>
      <c r="S47" s="28"/>
      <c r="T47" s="28"/>
      <c r="U47" s="28"/>
      <c r="V47" s="28"/>
    </row>
    <row r="48" spans="1:22" x14ac:dyDescent="0.3">
      <c r="A48" s="228"/>
      <c r="B48" s="193">
        <f t="shared" si="21"/>
        <v>8</v>
      </c>
      <c r="C48" s="230" t="s">
        <v>595</v>
      </c>
      <c r="D48" s="227"/>
      <c r="E48" s="227"/>
      <c r="F48" s="227"/>
      <c r="G48" s="227"/>
      <c r="H48" s="227"/>
      <c r="J48" s="43"/>
      <c r="K48" s="43"/>
      <c r="L48" s="43"/>
      <c r="M48" s="43"/>
      <c r="N48" s="43"/>
      <c r="O48" s="43"/>
      <c r="P48" s="43"/>
      <c r="Q48" s="183"/>
      <c r="R48" s="43"/>
      <c r="S48" s="28"/>
      <c r="T48" s="28"/>
      <c r="U48" s="28"/>
      <c r="V48" s="28"/>
    </row>
    <row r="49" spans="1:22" x14ac:dyDescent="0.3">
      <c r="A49" s="228"/>
      <c r="B49" s="193">
        <f t="shared" si="21"/>
        <v>9</v>
      </c>
      <c r="C49" s="227" t="s">
        <v>596</v>
      </c>
      <c r="D49" s="227"/>
      <c r="E49" s="227"/>
      <c r="F49" s="227"/>
      <c r="G49" s="227"/>
      <c r="H49" s="227"/>
      <c r="J49" s="77"/>
      <c r="K49" s="77"/>
      <c r="L49" s="77"/>
      <c r="M49" s="77"/>
      <c r="N49" s="43"/>
      <c r="O49" s="43"/>
      <c r="P49" s="43"/>
      <c r="Q49" s="183"/>
      <c r="R49" s="43"/>
      <c r="S49" s="28"/>
      <c r="T49" s="28"/>
      <c r="U49" s="28"/>
      <c r="V49" s="28"/>
    </row>
    <row r="50" spans="1:22" x14ac:dyDescent="0.3">
      <c r="A50" s="228"/>
      <c r="B50" s="193">
        <f t="shared" si="21"/>
        <v>10</v>
      </c>
      <c r="C50" s="227" t="s">
        <v>597</v>
      </c>
      <c r="D50" s="227"/>
      <c r="E50" s="227"/>
      <c r="F50" s="227"/>
      <c r="G50" s="227"/>
      <c r="H50" s="227"/>
      <c r="J50" s="43"/>
      <c r="K50" s="43"/>
      <c r="L50" s="43"/>
      <c r="M50" s="43"/>
      <c r="N50" s="43"/>
      <c r="O50" s="43"/>
      <c r="P50" s="43"/>
      <c r="Q50" s="183"/>
      <c r="R50" s="43"/>
      <c r="S50" s="28"/>
      <c r="T50" s="28"/>
      <c r="U50" s="28"/>
      <c r="V50" s="28"/>
    </row>
    <row r="51" spans="1:22" x14ac:dyDescent="0.3">
      <c r="A51" s="228"/>
      <c r="B51" s="193">
        <f t="shared" si="21"/>
        <v>11</v>
      </c>
      <c r="C51" s="233" t="s">
        <v>662</v>
      </c>
      <c r="D51" s="234"/>
      <c r="E51" s="234"/>
      <c r="F51" s="234"/>
      <c r="G51" s="234"/>
      <c r="H51" s="235"/>
      <c r="J51" s="43"/>
      <c r="K51" s="43"/>
      <c r="L51" s="43"/>
      <c r="M51" s="43"/>
      <c r="N51" s="43"/>
      <c r="O51" s="43"/>
      <c r="P51" s="43"/>
      <c r="Q51" s="183"/>
      <c r="R51" s="43"/>
      <c r="S51" s="28"/>
      <c r="T51" s="28"/>
      <c r="U51" s="28"/>
      <c r="V51" s="28"/>
    </row>
    <row r="52" spans="1:22" x14ac:dyDescent="0.3">
      <c r="A52" s="228"/>
      <c r="B52" s="193">
        <f t="shared" si="21"/>
        <v>12</v>
      </c>
      <c r="C52" s="227" t="s">
        <v>598</v>
      </c>
      <c r="D52" s="227"/>
      <c r="E52" s="227"/>
      <c r="F52" s="227"/>
      <c r="G52" s="227"/>
      <c r="H52" s="227"/>
      <c r="J52" s="43"/>
      <c r="K52" s="43"/>
      <c r="L52" s="43"/>
      <c r="M52" s="43"/>
      <c r="N52" s="43"/>
      <c r="O52" s="43"/>
      <c r="P52" s="43"/>
      <c r="Q52" s="183"/>
      <c r="R52" s="43"/>
      <c r="S52" s="28"/>
      <c r="T52" s="28"/>
      <c r="U52" s="28"/>
      <c r="V52" s="28"/>
    </row>
    <row r="53" spans="1:22" x14ac:dyDescent="0.3">
      <c r="A53" s="229"/>
      <c r="B53" s="193">
        <f t="shared" si="21"/>
        <v>13</v>
      </c>
      <c r="C53" s="227" t="s">
        <v>599</v>
      </c>
      <c r="D53" s="227"/>
      <c r="E53" s="227"/>
      <c r="F53" s="227"/>
      <c r="G53" s="227"/>
      <c r="H53" s="227"/>
      <c r="J53" s="43"/>
      <c r="K53" s="43"/>
      <c r="L53" s="43"/>
      <c r="M53" s="43"/>
      <c r="N53" s="43"/>
      <c r="O53" s="43"/>
      <c r="P53" s="43"/>
      <c r="Q53" s="183"/>
      <c r="R53" s="43"/>
      <c r="S53" s="28"/>
      <c r="T53" s="28"/>
      <c r="U53" s="28"/>
      <c r="V53" s="28"/>
    </row>
    <row r="54" spans="1:22" x14ac:dyDescent="0.3">
      <c r="A54" s="17" t="s">
        <v>49</v>
      </c>
      <c r="B54" s="3"/>
      <c r="H54" s="20"/>
      <c r="J54" s="43"/>
      <c r="K54" s="43"/>
      <c r="L54" s="43"/>
      <c r="M54" s="43"/>
      <c r="N54" s="43"/>
      <c r="O54" s="43"/>
      <c r="P54" s="43"/>
      <c r="Q54" s="183"/>
      <c r="R54" s="43"/>
      <c r="S54" s="28"/>
      <c r="T54" s="28"/>
      <c r="U54" s="28"/>
      <c r="V54" s="28"/>
    </row>
    <row r="55" spans="1:22" x14ac:dyDescent="0.3">
      <c r="A55" s="17" t="s">
        <v>535</v>
      </c>
      <c r="B55" s="3"/>
      <c r="H55" s="20"/>
      <c r="J55" s="43"/>
      <c r="K55" s="43"/>
      <c r="L55" s="43"/>
      <c r="M55" s="43"/>
      <c r="N55" s="43"/>
      <c r="O55" s="43"/>
      <c r="P55" s="43"/>
      <c r="Q55" s="183"/>
      <c r="R55" s="43"/>
      <c r="S55" s="28"/>
      <c r="T55" s="28"/>
      <c r="U55" s="28"/>
      <c r="V55" s="28"/>
    </row>
    <row r="56" spans="1:22" x14ac:dyDescent="0.3">
      <c r="A56" s="154" t="s">
        <v>250</v>
      </c>
      <c r="B56" s="192"/>
      <c r="C56" s="24"/>
      <c r="D56" s="24"/>
      <c r="E56" s="84"/>
      <c r="F56" s="85"/>
      <c r="G56" s="86"/>
      <c r="H56" s="87"/>
      <c r="J56" s="43"/>
      <c r="K56" s="43"/>
      <c r="L56" s="43"/>
      <c r="M56" s="43"/>
      <c r="N56" s="43"/>
      <c r="O56" s="43"/>
      <c r="P56" s="43"/>
      <c r="Q56" s="183"/>
      <c r="R56" s="43"/>
      <c r="S56" s="28"/>
      <c r="T56" s="28"/>
      <c r="U56" s="28"/>
      <c r="V56" s="28"/>
    </row>
  </sheetData>
  <mergeCells count="45">
    <mergeCell ref="B34:C34"/>
    <mergeCell ref="B45:C45"/>
    <mergeCell ref="A46:A53"/>
    <mergeCell ref="C46:H46"/>
    <mergeCell ref="C47:H47"/>
    <mergeCell ref="C48:H48"/>
    <mergeCell ref="C49:H49"/>
    <mergeCell ref="C50:H50"/>
    <mergeCell ref="C51:H51"/>
    <mergeCell ref="C52:H52"/>
    <mergeCell ref="C53:H53"/>
    <mergeCell ref="B43:C43"/>
    <mergeCell ref="B44:C44"/>
    <mergeCell ref="B41:C41"/>
    <mergeCell ref="B42:C42"/>
    <mergeCell ref="B35:C35"/>
    <mergeCell ref="B36:C36"/>
    <mergeCell ref="B37:C37"/>
    <mergeCell ref="B38:C38"/>
    <mergeCell ref="B39:C39"/>
    <mergeCell ref="B40:C40"/>
    <mergeCell ref="B33:C33"/>
    <mergeCell ref="B17:C17"/>
    <mergeCell ref="B18:C18"/>
    <mergeCell ref="B19:C19"/>
    <mergeCell ref="B20:C20"/>
    <mergeCell ref="B21:C21"/>
    <mergeCell ref="B25:C25"/>
    <mergeCell ref="B26:C26"/>
    <mergeCell ref="B28:C28"/>
    <mergeCell ref="B29:C29"/>
    <mergeCell ref="B31:C31"/>
    <mergeCell ref="B32:C32"/>
    <mergeCell ref="B22:C22"/>
    <mergeCell ref="B23:C23"/>
    <mergeCell ref="B27:C27"/>
    <mergeCell ref="B24:C24"/>
    <mergeCell ref="B30:C30"/>
    <mergeCell ref="B16:C16"/>
    <mergeCell ref="B12:C12"/>
    <mergeCell ref="A1:H1"/>
    <mergeCell ref="G3:H3"/>
    <mergeCell ref="B13:H13"/>
    <mergeCell ref="B14:C14"/>
    <mergeCell ref="B15:C15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3" fitToHeight="0" orientation="portrait" horizontalDpi="300" verticalDpi="300" r:id="rId1"/>
  <headerFooter alignWithMargins="0">
    <oddFooter>&amp;C&amp;P/&amp;N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CB7B-4020-F742-83F9-640D94E6C488}">
  <sheetPr>
    <tabColor theme="9" tint="0.79998168889431442"/>
    <pageSetUpPr fitToPage="1"/>
  </sheetPr>
  <dimension ref="A1:V34"/>
  <sheetViews>
    <sheetView showGridLines="0" view="pageBreakPreview" zoomScale="106" zoomScaleNormal="70" zoomScaleSheetLayoutView="70" zoomScalePageLayoutView="85" workbookViewId="0">
      <selection activeCell="F3" sqref="F3"/>
    </sheetView>
  </sheetViews>
  <sheetFormatPr defaultColWidth="9" defaultRowHeight="17.399999999999999" x14ac:dyDescent="0.3"/>
  <cols>
    <col min="1" max="1" width="5.6640625" style="7" customWidth="1"/>
    <col min="2" max="2" width="4.33203125" style="7" bestFit="1" customWidth="1"/>
    <col min="3" max="3" width="59.6640625" style="4" customWidth="1"/>
    <col min="4" max="4" width="8.44140625" style="4" customWidth="1"/>
    <col min="5" max="5" width="10.44140625" style="69" bestFit="1" customWidth="1"/>
    <col min="6" max="6" width="14.664062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44140625" style="4" bestFit="1" customWidth="1"/>
    <col min="12" max="13" width="19.6640625" style="4" bestFit="1" customWidth="1"/>
    <col min="14" max="14" width="14.6640625" style="4" bestFit="1" customWidth="1"/>
    <col min="15" max="15" width="17.44140625" style="4" bestFit="1" customWidth="1"/>
    <col min="16" max="16" width="14.6640625" style="4" bestFit="1" customWidth="1"/>
    <col min="17" max="17" width="16" style="181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6"/>
      <c r="G3" s="223"/>
      <c r="H3" s="224"/>
      <c r="I3" s="73"/>
    </row>
    <row r="4" spans="1:22" x14ac:dyDescent="0.3">
      <c r="A4" s="17"/>
      <c r="B4" s="3"/>
      <c r="D4" s="7"/>
      <c r="E4" s="72"/>
      <c r="F4" s="19"/>
      <c r="G4" s="19"/>
      <c r="H4" s="20"/>
    </row>
    <row r="5" spans="1:22" x14ac:dyDescent="0.3">
      <c r="A5" s="17"/>
      <c r="B5" s="3"/>
      <c r="D5" s="7"/>
      <c r="E5" s="72"/>
      <c r="F5" s="19"/>
      <c r="G5" s="73"/>
      <c r="H5" s="74"/>
      <c r="I5" s="73"/>
    </row>
    <row r="6" spans="1:22" x14ac:dyDescent="0.3">
      <c r="A6" s="17"/>
      <c r="B6" s="3"/>
      <c r="D6" s="7"/>
      <c r="E6" s="72"/>
      <c r="G6" s="73"/>
      <c r="H6" s="74"/>
      <c r="I6" s="73"/>
    </row>
    <row r="7" spans="1:22" x14ac:dyDescent="0.3">
      <c r="A7" s="17"/>
      <c r="B7" s="3"/>
      <c r="D7" s="7"/>
      <c r="E7" s="72"/>
      <c r="F7" s="19" t="s">
        <v>21</v>
      </c>
      <c r="G7" s="73"/>
      <c r="H7" s="74"/>
      <c r="I7" s="73"/>
    </row>
    <row r="8" spans="1:22" x14ac:dyDescent="0.3">
      <c r="A8" s="17"/>
      <c r="B8" s="3"/>
      <c r="D8" s="7"/>
      <c r="E8" s="72"/>
      <c r="F8" s="19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22" t="s">
        <v>25</v>
      </c>
      <c r="G10" s="73"/>
      <c r="H10" s="74"/>
      <c r="I10" s="73"/>
    </row>
    <row r="11" spans="1:22" ht="22.2" customHeight="1" x14ac:dyDescent="0.3">
      <c r="A11" s="23" t="s">
        <v>26</v>
      </c>
      <c r="B11" s="24"/>
      <c r="C11" s="24"/>
      <c r="D11" s="25"/>
      <c r="E11" s="62"/>
      <c r="F11" s="19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180" t="s">
        <v>558</v>
      </c>
      <c r="R12" s="161">
        <v>1.3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s="139" customFormat="1" ht="79.95" customHeight="1" x14ac:dyDescent="0.3">
      <c r="A13" s="28">
        <f>ROW()-12</f>
        <v>1</v>
      </c>
      <c r="B13" s="220" t="s">
        <v>591</v>
      </c>
      <c r="C13" s="221"/>
      <c r="D13" s="28" t="s">
        <v>8</v>
      </c>
      <c r="E13" s="37">
        <v>1</v>
      </c>
      <c r="F13" s="94">
        <v>15000</v>
      </c>
      <c r="G13" s="42">
        <f t="shared" ref="G13:G22" si="0">E13*F13</f>
        <v>15000</v>
      </c>
      <c r="H13" s="28"/>
      <c r="I13" s="7"/>
      <c r="J13" s="28"/>
      <c r="K13" s="28">
        <f>0.01*500+20</f>
        <v>25</v>
      </c>
      <c r="L13" s="28"/>
      <c r="M13" s="28"/>
      <c r="N13" s="166">
        <f t="shared" ref="N13:N21" si="1">ROUNDUP(E13*L13/S13,0)*T13+ROUNDUP(E13*M13/U13,0)*V13</f>
        <v>0</v>
      </c>
      <c r="O13" s="163">
        <f>4000*0.02</f>
        <v>80</v>
      </c>
      <c r="P13" s="179">
        <f t="shared" ref="P13:P22" si="2">E13*O13</f>
        <v>80</v>
      </c>
      <c r="Q13" s="184">
        <f t="shared" ref="Q13:Q22" si="3">(K13+(N13+P13))*$R$12</f>
        <v>136.5</v>
      </c>
      <c r="R13" s="163"/>
      <c r="S13" s="157">
        <v>1</v>
      </c>
      <c r="T13" s="157"/>
      <c r="U13" s="157">
        <v>1</v>
      </c>
      <c r="V13" s="157"/>
    </row>
    <row r="14" spans="1:22" s="139" customFormat="1" ht="79.95" customHeight="1" x14ac:dyDescent="0.3">
      <c r="A14" s="28">
        <f t="shared" ref="A14:A22" si="4">ROW()-12</f>
        <v>2</v>
      </c>
      <c r="B14" s="220" t="s">
        <v>592</v>
      </c>
      <c r="C14" s="221"/>
      <c r="D14" s="28" t="s">
        <v>3</v>
      </c>
      <c r="E14" s="37">
        <v>1</v>
      </c>
      <c r="F14" s="94">
        <v>600</v>
      </c>
      <c r="G14" s="42">
        <f t="shared" si="0"/>
        <v>600</v>
      </c>
      <c r="H14" s="28"/>
      <c r="I14" s="7"/>
      <c r="J14" s="28"/>
      <c r="K14" s="28"/>
      <c r="L14" s="28">
        <v>100</v>
      </c>
      <c r="M14" s="28"/>
      <c r="N14" s="166">
        <f t="shared" si="1"/>
        <v>0</v>
      </c>
      <c r="O14" s="163"/>
      <c r="P14" s="179">
        <f>E14*O14</f>
        <v>0</v>
      </c>
      <c r="Q14" s="189"/>
      <c r="R14" s="163"/>
      <c r="S14" s="157">
        <v>1</v>
      </c>
      <c r="T14" s="157"/>
      <c r="U14" s="157">
        <v>1</v>
      </c>
      <c r="V14" s="157"/>
    </row>
    <row r="15" spans="1:22" s="139" customFormat="1" ht="79.95" customHeight="1" x14ac:dyDescent="0.3">
      <c r="A15" s="28">
        <f t="shared" si="4"/>
        <v>3</v>
      </c>
      <c r="B15" s="220" t="s">
        <v>659</v>
      </c>
      <c r="C15" s="221"/>
      <c r="D15" s="28" t="s">
        <v>252</v>
      </c>
      <c r="E15" s="37">
        <v>1</v>
      </c>
      <c r="F15" s="94">
        <v>4000</v>
      </c>
      <c r="G15" s="42">
        <f t="shared" ref="G15" si="5">E15*F15</f>
        <v>4000</v>
      </c>
      <c r="H15" s="28"/>
      <c r="I15" s="7"/>
      <c r="J15" s="173">
        <f>E15*L15/S15</f>
        <v>0.04</v>
      </c>
      <c r="K15" s="28"/>
      <c r="L15" s="157">
        <v>1.2</v>
      </c>
      <c r="M15" s="157"/>
      <c r="N15" s="166">
        <f t="shared" ref="N15" si="6">ROUNDUP(E15*L15/S15,0)*T15+ROUNDUP(E15*M15/U15,0)*V15</f>
        <v>425</v>
      </c>
      <c r="O15" s="163">
        <v>350</v>
      </c>
      <c r="P15" s="179">
        <f t="shared" ref="P15" si="7">E15*O15</f>
        <v>350</v>
      </c>
      <c r="Q15" s="188">
        <f>(K15+N15+P15)*($R$12)</f>
        <v>1007.5</v>
      </c>
      <c r="R15" s="157"/>
      <c r="S15" s="157">
        <v>30</v>
      </c>
      <c r="T15" s="157">
        <v>425</v>
      </c>
      <c r="U15" s="157">
        <v>1</v>
      </c>
      <c r="V15" s="157"/>
    </row>
    <row r="16" spans="1:22" s="139" customFormat="1" ht="79.95" customHeight="1" x14ac:dyDescent="0.3">
      <c r="A16" s="28">
        <f t="shared" si="4"/>
        <v>4</v>
      </c>
      <c r="B16" s="220" t="s">
        <v>642</v>
      </c>
      <c r="C16" s="221"/>
      <c r="D16" s="28" t="s">
        <v>252</v>
      </c>
      <c r="E16" s="37">
        <v>1</v>
      </c>
      <c r="F16" s="94">
        <v>4000</v>
      </c>
      <c r="G16" s="42">
        <f t="shared" si="0"/>
        <v>4000</v>
      </c>
      <c r="H16" s="28"/>
      <c r="I16" s="7"/>
      <c r="J16" s="173">
        <f>E16*L16/S16</f>
        <v>0.04</v>
      </c>
      <c r="K16" s="28"/>
      <c r="L16" s="157">
        <v>1.2</v>
      </c>
      <c r="M16" s="157"/>
      <c r="N16" s="166">
        <f t="shared" si="1"/>
        <v>425</v>
      </c>
      <c r="O16" s="163">
        <v>350</v>
      </c>
      <c r="P16" s="179">
        <f t="shared" si="2"/>
        <v>350</v>
      </c>
      <c r="Q16" s="188">
        <f>(K16+N16+P16)*($R$12)</f>
        <v>1007.5</v>
      </c>
      <c r="R16" s="157"/>
      <c r="S16" s="157">
        <v>30</v>
      </c>
      <c r="T16" s="157">
        <v>425</v>
      </c>
      <c r="U16" s="157">
        <v>1</v>
      </c>
      <c r="V16" s="157"/>
    </row>
    <row r="17" spans="1:22" s="139" customFormat="1" ht="79.95" customHeight="1" x14ac:dyDescent="0.3">
      <c r="A17" s="28">
        <f t="shared" si="4"/>
        <v>5</v>
      </c>
      <c r="B17" s="220" t="s">
        <v>643</v>
      </c>
      <c r="C17" s="221"/>
      <c r="D17" s="28" t="s">
        <v>252</v>
      </c>
      <c r="E17" s="37">
        <v>1</v>
      </c>
      <c r="F17" s="94">
        <v>3500</v>
      </c>
      <c r="G17" s="42">
        <f t="shared" si="0"/>
        <v>3500</v>
      </c>
      <c r="H17" s="28"/>
      <c r="I17" s="7"/>
      <c r="J17" s="28">
        <f>ROUNDUP(E17*L17/S17,0)</f>
        <v>1</v>
      </c>
      <c r="K17" s="28"/>
      <c r="L17" s="28">
        <v>0.6</v>
      </c>
      <c r="M17" s="28"/>
      <c r="N17" s="166">
        <f t="shared" si="1"/>
        <v>14000</v>
      </c>
      <c r="O17" s="163">
        <v>0</v>
      </c>
      <c r="P17" s="179">
        <f t="shared" si="2"/>
        <v>0</v>
      </c>
      <c r="Q17" s="184">
        <f t="shared" si="3"/>
        <v>18200</v>
      </c>
      <c r="R17" s="163"/>
      <c r="S17" s="157">
        <v>50</v>
      </c>
      <c r="T17" s="157">
        <v>14000</v>
      </c>
      <c r="U17" s="157">
        <v>1</v>
      </c>
      <c r="V17" s="157"/>
    </row>
    <row r="18" spans="1:22" s="139" customFormat="1" ht="79.95" customHeight="1" x14ac:dyDescent="0.3">
      <c r="A18" s="28">
        <f t="shared" si="4"/>
        <v>6</v>
      </c>
      <c r="B18" s="220" t="s">
        <v>644</v>
      </c>
      <c r="C18" s="221"/>
      <c r="D18" s="28" t="s">
        <v>252</v>
      </c>
      <c r="E18" s="37">
        <v>1</v>
      </c>
      <c r="F18" s="94">
        <v>4000</v>
      </c>
      <c r="G18" s="42">
        <f t="shared" ref="G18" si="8">E18*F18</f>
        <v>4000</v>
      </c>
      <c r="H18" s="28"/>
      <c r="I18" s="7"/>
      <c r="J18" s="28">
        <f>ROUNDUP(E18*L18/S18,0)</f>
        <v>1</v>
      </c>
      <c r="K18" s="28"/>
      <c r="L18" s="28">
        <v>6.6</v>
      </c>
      <c r="M18" s="28"/>
      <c r="N18" s="166">
        <f t="shared" ref="N18" si="9">ROUNDUP(E18*L18/S18,0)*T18+ROUNDUP(E18*M18/U18,0)*V18</f>
        <v>14000</v>
      </c>
      <c r="O18" s="163">
        <v>0</v>
      </c>
      <c r="P18" s="179">
        <f t="shared" ref="P18" si="10">E18*O18</f>
        <v>0</v>
      </c>
      <c r="Q18" s="184">
        <f t="shared" ref="Q18" si="11">(K18+(N18+P18))*$R$12</f>
        <v>18200</v>
      </c>
      <c r="R18" s="163"/>
      <c r="S18" s="157">
        <v>50</v>
      </c>
      <c r="T18" s="157">
        <v>14000</v>
      </c>
      <c r="U18" s="157">
        <v>1</v>
      </c>
      <c r="V18" s="157"/>
    </row>
    <row r="19" spans="1:22" s="139" customFormat="1" ht="79.95" customHeight="1" x14ac:dyDescent="0.3">
      <c r="A19" s="28">
        <f t="shared" si="4"/>
        <v>7</v>
      </c>
      <c r="B19" s="220" t="s">
        <v>645</v>
      </c>
      <c r="C19" s="221"/>
      <c r="D19" s="28" t="s">
        <v>252</v>
      </c>
      <c r="E19" s="37">
        <v>1</v>
      </c>
      <c r="F19" s="94">
        <v>3500</v>
      </c>
      <c r="G19" s="42">
        <f t="shared" ref="G19" si="12">E19*F19</f>
        <v>3500</v>
      </c>
      <c r="H19" s="28"/>
      <c r="I19" s="7"/>
      <c r="J19" s="28">
        <f>ROUNDUP(E19*L19/S19,0)</f>
        <v>1</v>
      </c>
      <c r="K19" s="28"/>
      <c r="L19" s="28">
        <v>1</v>
      </c>
      <c r="M19" s="28"/>
      <c r="N19" s="166">
        <f t="shared" ref="N19" si="13">ROUNDUP(E19*L19/S19,0)*T19+ROUNDUP(E19*M19/U19,0)*V19</f>
        <v>14000</v>
      </c>
      <c r="O19" s="163">
        <v>0</v>
      </c>
      <c r="P19" s="179">
        <f t="shared" ref="P19" si="14">E19*O19</f>
        <v>0</v>
      </c>
      <c r="Q19" s="184">
        <f t="shared" ref="Q19" si="15">(K19+(N19+P19))*$R$12</f>
        <v>18200</v>
      </c>
      <c r="R19" s="163"/>
      <c r="S19" s="157">
        <v>50</v>
      </c>
      <c r="T19" s="157">
        <v>14000</v>
      </c>
      <c r="U19" s="157">
        <v>1</v>
      </c>
      <c r="V19" s="157"/>
    </row>
    <row r="20" spans="1:22" s="139" customFormat="1" ht="79.95" customHeight="1" x14ac:dyDescent="0.3">
      <c r="A20" s="28">
        <f t="shared" si="4"/>
        <v>8</v>
      </c>
      <c r="B20" s="231" t="s">
        <v>442</v>
      </c>
      <c r="C20" s="232"/>
      <c r="D20" s="28" t="s">
        <v>5</v>
      </c>
      <c r="E20" s="37">
        <v>1</v>
      </c>
      <c r="F20" s="94">
        <v>1500</v>
      </c>
      <c r="G20" s="42">
        <f t="shared" si="0"/>
        <v>1500</v>
      </c>
      <c r="H20" s="28"/>
      <c r="I20" s="7"/>
      <c r="J20" s="28"/>
      <c r="K20" s="28"/>
      <c r="L20" s="28">
        <v>1</v>
      </c>
      <c r="M20" s="28"/>
      <c r="N20" s="166">
        <f t="shared" si="1"/>
        <v>5000</v>
      </c>
      <c r="O20" s="163">
        <f>4000*0.22</f>
        <v>880</v>
      </c>
      <c r="P20" s="179">
        <f t="shared" si="2"/>
        <v>880</v>
      </c>
      <c r="Q20" s="185">
        <f t="shared" si="3"/>
        <v>7644</v>
      </c>
      <c r="R20" s="163"/>
      <c r="S20" s="160">
        <v>30</v>
      </c>
      <c r="T20" s="160">
        <v>5000</v>
      </c>
      <c r="U20" s="157">
        <v>1</v>
      </c>
      <c r="V20" s="160"/>
    </row>
    <row r="21" spans="1:22" s="139" customFormat="1" ht="79.95" customHeight="1" x14ac:dyDescent="0.3">
      <c r="A21" s="28">
        <f t="shared" si="4"/>
        <v>9</v>
      </c>
      <c r="B21" s="231" t="s">
        <v>424</v>
      </c>
      <c r="C21" s="232"/>
      <c r="D21" s="28" t="s">
        <v>4</v>
      </c>
      <c r="E21" s="37">
        <v>1</v>
      </c>
      <c r="F21" s="94">
        <f>SUM(G13:G20)*0.1</f>
        <v>3610</v>
      </c>
      <c r="G21" s="42">
        <f t="shared" si="0"/>
        <v>3610</v>
      </c>
      <c r="H21" s="28"/>
      <c r="I21" s="7"/>
      <c r="J21" s="28"/>
      <c r="K21" s="28"/>
      <c r="L21" s="28">
        <v>1</v>
      </c>
      <c r="M21" s="28"/>
      <c r="N21" s="166">
        <f t="shared" si="1"/>
        <v>0</v>
      </c>
      <c r="O21" s="163">
        <f>4000*0.1</f>
        <v>400</v>
      </c>
      <c r="P21" s="179">
        <f t="shared" si="2"/>
        <v>400</v>
      </c>
      <c r="Q21" s="184">
        <f t="shared" si="3"/>
        <v>520</v>
      </c>
      <c r="R21" s="163"/>
      <c r="S21" s="157">
        <v>1</v>
      </c>
      <c r="T21" s="157"/>
      <c r="U21" s="157">
        <v>1</v>
      </c>
      <c r="V21" s="157"/>
    </row>
    <row r="22" spans="1:22" s="139" customFormat="1" ht="79.95" customHeight="1" x14ac:dyDescent="0.3">
      <c r="A22" s="28">
        <f t="shared" si="4"/>
        <v>10</v>
      </c>
      <c r="B22" s="220" t="s">
        <v>556</v>
      </c>
      <c r="C22" s="221"/>
      <c r="D22" s="28" t="s">
        <v>11</v>
      </c>
      <c r="E22" s="150">
        <v>1</v>
      </c>
      <c r="F22" s="190">
        <v>-1000</v>
      </c>
      <c r="G22" s="190">
        <f t="shared" si="0"/>
        <v>-1000</v>
      </c>
      <c r="H22" s="28"/>
      <c r="I22" s="7"/>
      <c r="J22" s="28"/>
      <c r="K22" s="28"/>
      <c r="L22" s="28"/>
      <c r="M22" s="28"/>
      <c r="N22" s="166">
        <f t="shared" ref="N22" si="16">ROUNDUP(E22*L22/S22,0)*T22+ROUNDUP(E22*M22/U22,0)*V22</f>
        <v>0</v>
      </c>
      <c r="O22" s="163"/>
      <c r="P22" s="179">
        <f t="shared" si="2"/>
        <v>0</v>
      </c>
      <c r="Q22" s="184">
        <f t="shared" si="3"/>
        <v>0</v>
      </c>
      <c r="R22" s="163"/>
      <c r="S22" s="157">
        <v>20</v>
      </c>
      <c r="T22" s="157">
        <v>3400</v>
      </c>
      <c r="U22" s="157">
        <v>20</v>
      </c>
      <c r="V22" s="157">
        <v>3400</v>
      </c>
    </row>
    <row r="23" spans="1:22" s="145" customFormat="1" x14ac:dyDescent="0.3">
      <c r="A23" s="28"/>
      <c r="B23" s="215" t="s">
        <v>481</v>
      </c>
      <c r="C23" s="216"/>
      <c r="D23" s="28"/>
      <c r="E23" s="37"/>
      <c r="F23" s="94"/>
      <c r="G23" s="156">
        <f>SUM(G13:G22)</f>
        <v>38710</v>
      </c>
      <c r="H23" s="28"/>
      <c r="I23" s="7"/>
      <c r="J23" s="170"/>
      <c r="K23" s="170"/>
      <c r="L23" s="170"/>
      <c r="M23" s="170"/>
      <c r="N23" s="171"/>
      <c r="O23" s="171"/>
      <c r="P23" s="171"/>
      <c r="Q23" s="182"/>
      <c r="R23" s="171"/>
      <c r="S23" s="172"/>
      <c r="T23" s="172"/>
      <c r="U23" s="172"/>
      <c r="V23" s="172"/>
    </row>
    <row r="24" spans="1:22" s="145" customFormat="1" x14ac:dyDescent="0.3">
      <c r="A24" s="28"/>
      <c r="B24" s="215" t="s">
        <v>482</v>
      </c>
      <c r="C24" s="216"/>
      <c r="D24" s="28"/>
      <c r="E24" s="37"/>
      <c r="F24" s="94"/>
      <c r="G24" s="156">
        <f>G23*0.05</f>
        <v>1935.5</v>
      </c>
      <c r="H24" s="28"/>
      <c r="I24" s="7"/>
      <c r="J24" s="170"/>
      <c r="K24" s="170"/>
      <c r="L24" s="170"/>
      <c r="M24" s="170"/>
      <c r="N24" s="171"/>
      <c r="O24" s="171"/>
      <c r="P24" s="171"/>
      <c r="Q24" s="182"/>
      <c r="R24" s="171"/>
      <c r="S24" s="172"/>
      <c r="T24" s="172"/>
      <c r="U24" s="172"/>
      <c r="V24" s="172"/>
    </row>
    <row r="25" spans="1:22" ht="30" customHeight="1" x14ac:dyDescent="0.3">
      <c r="A25" s="28"/>
      <c r="B25" s="238" t="s">
        <v>16</v>
      </c>
      <c r="C25" s="239"/>
      <c r="D25" s="28"/>
      <c r="E25" s="68"/>
      <c r="F25" s="49"/>
      <c r="G25" s="155">
        <f>G23+G24</f>
        <v>40645.5</v>
      </c>
      <c r="H25" s="78"/>
      <c r="I25" s="159"/>
      <c r="J25" s="28"/>
      <c r="K25" s="28"/>
      <c r="L25" s="28"/>
      <c r="M25" s="28"/>
      <c r="N25" s="28"/>
      <c r="O25" s="43"/>
      <c r="P25" s="43"/>
      <c r="Q25" s="183"/>
      <c r="R25" s="43"/>
      <c r="S25" s="28"/>
      <c r="T25" s="28"/>
      <c r="U25" s="28"/>
      <c r="V25" s="28"/>
    </row>
    <row r="26" spans="1:22" x14ac:dyDescent="0.3">
      <c r="A26" s="228" t="s">
        <v>17</v>
      </c>
      <c r="B26" s="193">
        <f>ROW()-25</f>
        <v>1</v>
      </c>
      <c r="C26" s="230" t="s">
        <v>595</v>
      </c>
      <c r="D26" s="227"/>
      <c r="E26" s="227"/>
      <c r="F26" s="227"/>
      <c r="G26" s="227"/>
      <c r="H26" s="227"/>
      <c r="J26" s="43"/>
      <c r="K26" s="43"/>
      <c r="L26" s="43"/>
      <c r="M26" s="43"/>
      <c r="N26" s="43"/>
      <c r="O26" s="43"/>
      <c r="P26" s="43"/>
      <c r="Q26" s="183"/>
      <c r="R26" s="43"/>
      <c r="S26" s="28"/>
      <c r="T26" s="28"/>
      <c r="U26" s="28"/>
      <c r="V26" s="28"/>
    </row>
    <row r="27" spans="1:22" x14ac:dyDescent="0.3">
      <c r="A27" s="228"/>
      <c r="B27" s="193">
        <f t="shared" ref="B27:B31" si="17">ROW()-25</f>
        <v>2</v>
      </c>
      <c r="C27" s="227" t="s">
        <v>596</v>
      </c>
      <c r="D27" s="227"/>
      <c r="E27" s="227"/>
      <c r="F27" s="227"/>
      <c r="G27" s="227"/>
      <c r="H27" s="227"/>
      <c r="J27" s="77"/>
      <c r="K27" s="77"/>
      <c r="L27" s="77"/>
      <c r="M27" s="77"/>
      <c r="N27" s="43"/>
      <c r="O27" s="43"/>
      <c r="P27" s="43"/>
      <c r="Q27" s="183"/>
      <c r="R27" s="43"/>
      <c r="S27" s="28"/>
      <c r="T27" s="28"/>
      <c r="U27" s="28"/>
      <c r="V27" s="28"/>
    </row>
    <row r="28" spans="1:22" x14ac:dyDescent="0.3">
      <c r="A28" s="228"/>
      <c r="B28" s="193">
        <f t="shared" si="17"/>
        <v>3</v>
      </c>
      <c r="C28" s="227" t="s">
        <v>597</v>
      </c>
      <c r="D28" s="227"/>
      <c r="E28" s="227"/>
      <c r="F28" s="227"/>
      <c r="G28" s="227"/>
      <c r="H28" s="227"/>
      <c r="J28" s="43"/>
      <c r="K28" s="43"/>
      <c r="L28" s="43"/>
      <c r="M28" s="43"/>
      <c r="N28" s="43"/>
      <c r="O28" s="43"/>
      <c r="P28" s="43"/>
      <c r="Q28" s="183"/>
      <c r="R28" s="43"/>
      <c r="S28" s="28"/>
      <c r="T28" s="28"/>
      <c r="U28" s="28"/>
      <c r="V28" s="28"/>
    </row>
    <row r="29" spans="1:22" x14ac:dyDescent="0.3">
      <c r="A29" s="228"/>
      <c r="B29" s="193">
        <f t="shared" si="17"/>
        <v>4</v>
      </c>
      <c r="C29" s="233" t="s">
        <v>662</v>
      </c>
      <c r="D29" s="234"/>
      <c r="E29" s="234"/>
      <c r="F29" s="234"/>
      <c r="G29" s="234"/>
      <c r="H29" s="235"/>
      <c r="J29" s="43"/>
      <c r="K29" s="43"/>
      <c r="L29" s="43"/>
      <c r="M29" s="43"/>
      <c r="N29" s="43"/>
      <c r="O29" s="43"/>
      <c r="P29" s="43"/>
      <c r="Q29" s="183"/>
      <c r="R29" s="43"/>
      <c r="S29" s="28"/>
      <c r="T29" s="28"/>
      <c r="U29" s="28"/>
      <c r="V29" s="28"/>
    </row>
    <row r="30" spans="1:22" x14ac:dyDescent="0.3">
      <c r="A30" s="228"/>
      <c r="B30" s="193">
        <f t="shared" si="17"/>
        <v>5</v>
      </c>
      <c r="C30" s="227" t="s">
        <v>598</v>
      </c>
      <c r="D30" s="227"/>
      <c r="E30" s="227"/>
      <c r="F30" s="227"/>
      <c r="G30" s="227"/>
      <c r="H30" s="227"/>
      <c r="J30" s="43"/>
      <c r="K30" s="43"/>
      <c r="L30" s="43"/>
      <c r="M30" s="43"/>
      <c r="N30" s="43"/>
      <c r="O30" s="43"/>
      <c r="P30" s="43"/>
      <c r="Q30" s="183"/>
      <c r="R30" s="43"/>
      <c r="S30" s="28"/>
      <c r="T30" s="28"/>
      <c r="U30" s="28"/>
      <c r="V30" s="28"/>
    </row>
    <row r="31" spans="1:22" x14ac:dyDescent="0.3">
      <c r="A31" s="229"/>
      <c r="B31" s="193">
        <f t="shared" si="17"/>
        <v>6</v>
      </c>
      <c r="C31" s="227" t="s">
        <v>599</v>
      </c>
      <c r="D31" s="227"/>
      <c r="E31" s="227"/>
      <c r="F31" s="227"/>
      <c r="G31" s="227"/>
      <c r="H31" s="227"/>
      <c r="J31" s="43"/>
      <c r="K31" s="43"/>
      <c r="L31" s="43"/>
      <c r="M31" s="43"/>
      <c r="N31" s="43"/>
      <c r="O31" s="43"/>
      <c r="P31" s="43"/>
      <c r="Q31" s="183"/>
      <c r="R31" s="43"/>
      <c r="S31" s="28"/>
      <c r="T31" s="28"/>
      <c r="U31" s="28"/>
      <c r="V31" s="28"/>
    </row>
    <row r="32" spans="1:22" x14ac:dyDescent="0.3">
      <c r="A32" s="17" t="s">
        <v>49</v>
      </c>
      <c r="B32" s="3"/>
      <c r="H32" s="20"/>
      <c r="J32" s="43"/>
      <c r="K32" s="43"/>
      <c r="L32" s="43"/>
      <c r="M32" s="43"/>
      <c r="N32" s="43"/>
      <c r="O32" s="43"/>
      <c r="P32" s="43"/>
      <c r="Q32" s="183"/>
      <c r="R32" s="43"/>
      <c r="S32" s="28"/>
      <c r="T32" s="28"/>
      <c r="U32" s="28"/>
      <c r="V32" s="28"/>
    </row>
    <row r="33" spans="1:22" x14ac:dyDescent="0.3">
      <c r="A33" s="17" t="s">
        <v>535</v>
      </c>
      <c r="B33" s="3"/>
      <c r="H33" s="20"/>
      <c r="J33" s="43"/>
      <c r="K33" s="43"/>
      <c r="L33" s="43"/>
      <c r="M33" s="43"/>
      <c r="N33" s="43"/>
      <c r="O33" s="43"/>
      <c r="P33" s="43"/>
      <c r="Q33" s="183"/>
      <c r="R33" s="43"/>
      <c r="S33" s="28"/>
      <c r="T33" s="28"/>
      <c r="U33" s="28"/>
      <c r="V33" s="28"/>
    </row>
    <row r="34" spans="1:22" x14ac:dyDescent="0.3">
      <c r="A34" s="154" t="s">
        <v>250</v>
      </c>
      <c r="B34" s="192"/>
      <c r="C34" s="24"/>
      <c r="D34" s="24"/>
      <c r="E34" s="84"/>
      <c r="F34" s="85"/>
      <c r="G34" s="86"/>
      <c r="H34" s="87"/>
      <c r="J34" s="43"/>
      <c r="K34" s="43"/>
      <c r="L34" s="43"/>
      <c r="M34" s="43"/>
      <c r="N34" s="43"/>
      <c r="O34" s="43"/>
      <c r="P34" s="43"/>
      <c r="Q34" s="183"/>
      <c r="R34" s="43"/>
      <c r="S34" s="28"/>
      <c r="T34" s="28"/>
      <c r="U34" s="28"/>
      <c r="V34" s="28"/>
    </row>
  </sheetData>
  <mergeCells count="23">
    <mergeCell ref="B22:C22"/>
    <mergeCell ref="B23:C23"/>
    <mergeCell ref="B24:C24"/>
    <mergeCell ref="B25:C25"/>
    <mergeCell ref="B16:C16"/>
    <mergeCell ref="B17:C17"/>
    <mergeCell ref="B20:C20"/>
    <mergeCell ref="B21:C21"/>
    <mergeCell ref="B18:C18"/>
    <mergeCell ref="B19:C19"/>
    <mergeCell ref="A26:A31"/>
    <mergeCell ref="C26:H26"/>
    <mergeCell ref="C27:H27"/>
    <mergeCell ref="C28:H28"/>
    <mergeCell ref="C29:H29"/>
    <mergeCell ref="C30:H30"/>
    <mergeCell ref="C31:H31"/>
    <mergeCell ref="B15:C15"/>
    <mergeCell ref="A1:H1"/>
    <mergeCell ref="G3:H3"/>
    <mergeCell ref="B12:C12"/>
    <mergeCell ref="B13:C13"/>
    <mergeCell ref="B14:C14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3" fitToHeight="0" orientation="portrait" horizontalDpi="300" verticalDpi="300" r:id="rId1"/>
  <headerFooter alignWithMargins="0"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0BA3-D20C-0C44-80C2-FBF969A97857}">
  <sheetPr>
    <tabColor theme="9" tint="0.79998168889431442"/>
    <pageSetUpPr fitToPage="1"/>
  </sheetPr>
  <dimension ref="A1:V38"/>
  <sheetViews>
    <sheetView showGridLines="0" view="pageBreakPreview" zoomScale="85" zoomScaleNormal="70" zoomScaleSheetLayoutView="85" zoomScalePageLayoutView="85" workbookViewId="0">
      <selection activeCell="F3" sqref="F3"/>
    </sheetView>
  </sheetViews>
  <sheetFormatPr defaultColWidth="9" defaultRowHeight="17.399999999999999" x14ac:dyDescent="0.3"/>
  <cols>
    <col min="1" max="1" width="5.6640625" style="7" customWidth="1"/>
    <col min="2" max="2" width="4.33203125" style="7" bestFit="1" customWidth="1"/>
    <col min="3" max="3" width="59.6640625" style="4" customWidth="1"/>
    <col min="4" max="4" width="8.44140625" style="4" customWidth="1"/>
    <col min="5" max="5" width="10.44140625" style="69" bestFit="1" customWidth="1"/>
    <col min="6" max="6" width="14.664062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44140625" style="4" bestFit="1" customWidth="1"/>
    <col min="12" max="13" width="19.6640625" style="4" bestFit="1" customWidth="1"/>
    <col min="14" max="14" width="14.6640625" style="4" bestFit="1" customWidth="1"/>
    <col min="15" max="15" width="17.44140625" style="4" bestFit="1" customWidth="1"/>
    <col min="16" max="16" width="14.6640625" style="4" bestFit="1" customWidth="1"/>
    <col min="17" max="17" width="16" style="181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6"/>
      <c r="G3" s="223"/>
      <c r="H3" s="224"/>
      <c r="I3" s="73"/>
    </row>
    <row r="4" spans="1:22" x14ac:dyDescent="0.3">
      <c r="A4" s="17"/>
      <c r="B4" s="3"/>
      <c r="D4" s="7"/>
      <c r="E4" s="72"/>
      <c r="F4" s="19"/>
      <c r="G4" s="19"/>
      <c r="H4" s="20"/>
    </row>
    <row r="5" spans="1:22" x14ac:dyDescent="0.3">
      <c r="A5" s="17"/>
      <c r="B5" s="3"/>
      <c r="D5" s="7"/>
      <c r="E5" s="72"/>
      <c r="F5" s="19"/>
      <c r="G5" s="73"/>
      <c r="H5" s="74"/>
      <c r="I5" s="73"/>
    </row>
    <row r="6" spans="1:22" x14ac:dyDescent="0.3">
      <c r="A6" s="17"/>
      <c r="B6" s="3"/>
      <c r="D6" s="7"/>
      <c r="E6" s="72"/>
      <c r="G6" s="73"/>
      <c r="H6" s="74"/>
      <c r="I6" s="73"/>
    </row>
    <row r="7" spans="1:22" x14ac:dyDescent="0.3">
      <c r="A7" s="17"/>
      <c r="B7" s="3"/>
      <c r="D7" s="7"/>
      <c r="E7" s="72"/>
      <c r="F7" s="19" t="s">
        <v>21</v>
      </c>
      <c r="G7" s="73"/>
      <c r="H7" s="74"/>
      <c r="I7" s="73"/>
    </row>
    <row r="8" spans="1:22" x14ac:dyDescent="0.3">
      <c r="A8" s="17"/>
      <c r="B8" s="3"/>
      <c r="D8" s="7"/>
      <c r="E8" s="72"/>
      <c r="F8" s="19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22" t="s">
        <v>25</v>
      </c>
      <c r="G10" s="73"/>
      <c r="H10" s="74"/>
      <c r="I10" s="73"/>
    </row>
    <row r="11" spans="1:22" ht="22.2" customHeight="1" x14ac:dyDescent="0.3">
      <c r="A11" s="23" t="s">
        <v>26</v>
      </c>
      <c r="B11" s="24"/>
      <c r="C11" s="24"/>
      <c r="D11" s="25"/>
      <c r="E11" s="62"/>
      <c r="F11" s="19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180" t="s">
        <v>558</v>
      </c>
      <c r="R12" s="161">
        <v>1.3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s="139" customFormat="1" ht="60" customHeight="1" x14ac:dyDescent="0.3">
      <c r="A13" s="28">
        <f>ROW()-12</f>
        <v>1</v>
      </c>
      <c r="B13" s="220" t="s">
        <v>425</v>
      </c>
      <c r="C13" s="221"/>
      <c r="D13" s="28" t="s">
        <v>4</v>
      </c>
      <c r="E13" s="37">
        <v>1</v>
      </c>
      <c r="F13" s="94">
        <v>35000</v>
      </c>
      <c r="G13" s="42">
        <f t="shared" ref="G13:G26" si="0">E13*F13</f>
        <v>35000</v>
      </c>
      <c r="H13" s="28" t="s">
        <v>566</v>
      </c>
      <c r="I13" s="7"/>
      <c r="J13" s="28"/>
      <c r="K13" s="28">
        <f>0.01*500+20</f>
        <v>25</v>
      </c>
      <c r="L13" s="28"/>
      <c r="M13" s="28"/>
      <c r="N13" s="166">
        <f t="shared" ref="N13:N23" si="1">ROUNDUP(E13*L13/S13,0)*T13+ROUNDUP(E13*M13/U13,0)*V13</f>
        <v>0</v>
      </c>
      <c r="O13" s="163">
        <f>4000*0.02</f>
        <v>80</v>
      </c>
      <c r="P13" s="179">
        <f t="shared" ref="P13:P26" si="2">E13*O13</f>
        <v>80</v>
      </c>
      <c r="Q13" s="184">
        <f t="shared" ref="Q13:Q26" si="3">(K13+(N13+P13))*$R$12</f>
        <v>136.5</v>
      </c>
      <c r="R13" s="163"/>
      <c r="S13" s="157">
        <v>1</v>
      </c>
      <c r="T13" s="157"/>
      <c r="U13" s="157">
        <v>1</v>
      </c>
      <c r="V13" s="157"/>
    </row>
    <row r="14" spans="1:22" s="139" customFormat="1" ht="60" customHeight="1" x14ac:dyDescent="0.3">
      <c r="A14" s="28">
        <f t="shared" ref="A14:A26" si="4">ROW()-12</f>
        <v>2</v>
      </c>
      <c r="B14" s="220" t="s">
        <v>426</v>
      </c>
      <c r="C14" s="221"/>
      <c r="D14" s="28" t="s">
        <v>4</v>
      </c>
      <c r="E14" s="37">
        <v>1</v>
      </c>
      <c r="F14" s="94">
        <v>10000</v>
      </c>
      <c r="G14" s="42">
        <f t="shared" si="0"/>
        <v>10000</v>
      </c>
      <c r="H14" s="28"/>
      <c r="I14" s="7"/>
      <c r="J14" s="28"/>
      <c r="K14" s="28"/>
      <c r="L14" s="28"/>
      <c r="M14" s="28"/>
      <c r="N14" s="166">
        <f t="shared" si="1"/>
        <v>0</v>
      </c>
      <c r="O14" s="163"/>
      <c r="P14" s="179">
        <f>E14*O14</f>
        <v>0</v>
      </c>
      <c r="Q14" s="189"/>
      <c r="R14" s="163"/>
      <c r="S14" s="157">
        <v>1</v>
      </c>
      <c r="T14" s="157"/>
      <c r="U14" s="157">
        <v>1</v>
      </c>
      <c r="V14" s="157"/>
    </row>
    <row r="15" spans="1:22" s="139" customFormat="1" ht="60" customHeight="1" x14ac:dyDescent="0.3">
      <c r="A15" s="28">
        <f t="shared" si="4"/>
        <v>3</v>
      </c>
      <c r="B15" s="220" t="s">
        <v>427</v>
      </c>
      <c r="C15" s="221"/>
      <c r="D15" s="28" t="s">
        <v>4</v>
      </c>
      <c r="E15" s="37">
        <v>1</v>
      </c>
      <c r="F15" s="94">
        <v>6000</v>
      </c>
      <c r="G15" s="42">
        <f t="shared" si="0"/>
        <v>6000</v>
      </c>
      <c r="H15" s="28"/>
      <c r="I15" s="7"/>
      <c r="J15" s="173">
        <f>E15*L15/S15</f>
        <v>0.13333333333333333</v>
      </c>
      <c r="K15" s="28"/>
      <c r="L15" s="157">
        <v>4</v>
      </c>
      <c r="M15" s="157"/>
      <c r="N15" s="166">
        <f t="shared" si="1"/>
        <v>425</v>
      </c>
      <c r="O15" s="163">
        <v>350</v>
      </c>
      <c r="P15" s="179">
        <f t="shared" si="2"/>
        <v>350</v>
      </c>
      <c r="Q15" s="188">
        <f>(K15+N15+P15)*($R$12)</f>
        <v>1007.5</v>
      </c>
      <c r="R15" s="157"/>
      <c r="S15" s="157">
        <v>30</v>
      </c>
      <c r="T15" s="157">
        <v>425</v>
      </c>
      <c r="U15" s="157">
        <v>1</v>
      </c>
      <c r="V15" s="157"/>
    </row>
    <row r="16" spans="1:22" s="139" customFormat="1" ht="60" customHeight="1" x14ac:dyDescent="0.3">
      <c r="A16" s="28">
        <f t="shared" si="4"/>
        <v>4</v>
      </c>
      <c r="B16" s="220" t="s">
        <v>593</v>
      </c>
      <c r="C16" s="221"/>
      <c r="D16" s="28" t="s">
        <v>3</v>
      </c>
      <c r="E16" s="37">
        <v>1</v>
      </c>
      <c r="F16" s="94">
        <v>400</v>
      </c>
      <c r="G16" s="42">
        <f t="shared" si="0"/>
        <v>400</v>
      </c>
      <c r="H16" s="28"/>
      <c r="I16" s="7"/>
      <c r="J16" s="28">
        <f>ROUNDUP(E16*L16/S16,0)</f>
        <v>1</v>
      </c>
      <c r="K16" s="28"/>
      <c r="L16" s="28">
        <v>1</v>
      </c>
      <c r="M16" s="28"/>
      <c r="N16" s="166">
        <f t="shared" si="1"/>
        <v>14000</v>
      </c>
      <c r="O16" s="163">
        <v>0</v>
      </c>
      <c r="P16" s="179">
        <f t="shared" si="2"/>
        <v>0</v>
      </c>
      <c r="Q16" s="184">
        <f t="shared" si="3"/>
        <v>18200</v>
      </c>
      <c r="R16" s="163"/>
      <c r="S16" s="157">
        <v>50</v>
      </c>
      <c r="T16" s="157">
        <v>14000</v>
      </c>
      <c r="U16" s="157">
        <v>1</v>
      </c>
      <c r="V16" s="157"/>
    </row>
    <row r="17" spans="1:22" s="139" customFormat="1" ht="60" customHeight="1" x14ac:dyDescent="0.3">
      <c r="A17" s="28">
        <f t="shared" si="4"/>
        <v>5</v>
      </c>
      <c r="B17" s="231" t="s">
        <v>584</v>
      </c>
      <c r="C17" s="232"/>
      <c r="D17" s="28" t="s">
        <v>252</v>
      </c>
      <c r="E17" s="37">
        <v>1</v>
      </c>
      <c r="F17" s="94">
        <v>1500</v>
      </c>
      <c r="G17" s="42">
        <f t="shared" si="0"/>
        <v>1500</v>
      </c>
      <c r="H17" s="28"/>
      <c r="I17" s="7"/>
      <c r="J17" s="28"/>
      <c r="K17" s="28"/>
      <c r="L17" s="28">
        <v>1</v>
      </c>
      <c r="M17" s="28"/>
      <c r="N17" s="166">
        <f t="shared" si="1"/>
        <v>5000</v>
      </c>
      <c r="O17" s="163">
        <f>4000*0.22</f>
        <v>880</v>
      </c>
      <c r="P17" s="179">
        <f t="shared" si="2"/>
        <v>880</v>
      </c>
      <c r="Q17" s="185">
        <f t="shared" si="3"/>
        <v>7644</v>
      </c>
      <c r="R17" s="163"/>
      <c r="S17" s="160">
        <v>30</v>
      </c>
      <c r="T17" s="160">
        <v>5000</v>
      </c>
      <c r="U17" s="157">
        <v>1</v>
      </c>
      <c r="V17" s="160"/>
    </row>
    <row r="18" spans="1:22" s="139" customFormat="1" ht="60" customHeight="1" x14ac:dyDescent="0.3">
      <c r="A18" s="28">
        <f t="shared" si="4"/>
        <v>6</v>
      </c>
      <c r="B18" s="231" t="s">
        <v>646</v>
      </c>
      <c r="C18" s="232"/>
      <c r="D18" s="28" t="s">
        <v>252</v>
      </c>
      <c r="E18" s="37">
        <v>1</v>
      </c>
      <c r="F18" s="94">
        <v>1500</v>
      </c>
      <c r="G18" s="42">
        <f t="shared" si="0"/>
        <v>1500</v>
      </c>
      <c r="H18" s="28"/>
      <c r="I18" s="7"/>
      <c r="J18" s="28"/>
      <c r="K18" s="28"/>
      <c r="L18" s="28">
        <v>1</v>
      </c>
      <c r="M18" s="28"/>
      <c r="N18" s="166">
        <f t="shared" si="1"/>
        <v>0</v>
      </c>
      <c r="O18" s="163">
        <f>4000*0.1</f>
        <v>400</v>
      </c>
      <c r="P18" s="179">
        <f t="shared" si="2"/>
        <v>400</v>
      </c>
      <c r="Q18" s="184">
        <f t="shared" si="3"/>
        <v>520</v>
      </c>
      <c r="R18" s="163"/>
      <c r="S18" s="157">
        <v>1</v>
      </c>
      <c r="T18" s="157"/>
      <c r="U18" s="157">
        <v>1</v>
      </c>
      <c r="V18" s="157"/>
    </row>
    <row r="19" spans="1:22" s="139" customFormat="1" ht="60" customHeight="1" x14ac:dyDescent="0.3">
      <c r="A19" s="28">
        <f t="shared" si="4"/>
        <v>7</v>
      </c>
      <c r="B19" s="220" t="s">
        <v>428</v>
      </c>
      <c r="C19" s="221"/>
      <c r="D19" s="28" t="s">
        <v>252</v>
      </c>
      <c r="E19" s="37">
        <v>1</v>
      </c>
      <c r="F19" s="94">
        <v>1400</v>
      </c>
      <c r="G19" s="42">
        <f t="shared" si="0"/>
        <v>1400</v>
      </c>
      <c r="H19" s="28"/>
      <c r="I19" s="7"/>
      <c r="J19" s="28"/>
      <c r="K19" s="28"/>
      <c r="L19" s="28">
        <v>50</v>
      </c>
      <c r="M19" s="28"/>
      <c r="N19" s="166">
        <f t="shared" si="1"/>
        <v>600</v>
      </c>
      <c r="O19" s="163">
        <f>4000*0.135</f>
        <v>540</v>
      </c>
      <c r="P19" s="179">
        <f t="shared" si="2"/>
        <v>540</v>
      </c>
      <c r="Q19" s="184">
        <f t="shared" si="3"/>
        <v>1482</v>
      </c>
      <c r="R19" s="163"/>
      <c r="S19" s="157">
        <v>1000</v>
      </c>
      <c r="T19" s="157">
        <v>600</v>
      </c>
      <c r="U19" s="157">
        <v>1</v>
      </c>
      <c r="V19" s="157"/>
    </row>
    <row r="20" spans="1:22" s="139" customFormat="1" ht="60" customHeight="1" x14ac:dyDescent="0.3">
      <c r="A20" s="28">
        <f t="shared" si="4"/>
        <v>8</v>
      </c>
      <c r="B20" s="220" t="s">
        <v>429</v>
      </c>
      <c r="C20" s="221"/>
      <c r="D20" s="28" t="s">
        <v>252</v>
      </c>
      <c r="E20" s="37">
        <v>1</v>
      </c>
      <c r="F20" s="94">
        <v>1800</v>
      </c>
      <c r="G20" s="42">
        <f t="shared" si="0"/>
        <v>1800</v>
      </c>
      <c r="H20" s="28"/>
      <c r="I20" s="7"/>
      <c r="J20" s="28"/>
      <c r="K20" s="28"/>
      <c r="L20" s="28">
        <v>12</v>
      </c>
      <c r="M20" s="28"/>
      <c r="N20" s="166">
        <f t="shared" si="1"/>
        <v>5100</v>
      </c>
      <c r="O20" s="163">
        <f>4000*0.25</f>
        <v>1000</v>
      </c>
      <c r="P20" s="179">
        <f t="shared" si="2"/>
        <v>1000</v>
      </c>
      <c r="Q20" s="184">
        <f t="shared" si="3"/>
        <v>7930</v>
      </c>
      <c r="R20" s="163"/>
      <c r="S20" s="164">
        <v>30</v>
      </c>
      <c r="T20" s="157">
        <v>5100</v>
      </c>
      <c r="U20" s="157">
        <v>1</v>
      </c>
      <c r="V20" s="157"/>
    </row>
    <row r="21" spans="1:22" s="139" customFormat="1" ht="60" customHeight="1" x14ac:dyDescent="0.3">
      <c r="A21" s="28">
        <f t="shared" si="4"/>
        <v>9</v>
      </c>
      <c r="B21" s="220" t="s">
        <v>430</v>
      </c>
      <c r="C21" s="221"/>
      <c r="D21" s="28" t="s">
        <v>4</v>
      </c>
      <c r="E21" s="37">
        <v>1</v>
      </c>
      <c r="F21" s="94">
        <v>10000</v>
      </c>
      <c r="G21" s="42">
        <f t="shared" si="0"/>
        <v>10000</v>
      </c>
      <c r="H21" s="28"/>
      <c r="I21" s="7"/>
      <c r="J21" s="28"/>
      <c r="K21" s="28"/>
      <c r="L21" s="28">
        <f>145*10</f>
        <v>1450</v>
      </c>
      <c r="M21" s="28"/>
      <c r="N21" s="166">
        <f t="shared" si="1"/>
        <v>4500</v>
      </c>
      <c r="O21" s="163">
        <f>4000*0.2</f>
        <v>800</v>
      </c>
      <c r="P21" s="179">
        <f t="shared" si="2"/>
        <v>800</v>
      </c>
      <c r="Q21" s="184">
        <f t="shared" si="3"/>
        <v>6890</v>
      </c>
      <c r="R21" s="163"/>
      <c r="S21" s="160">
        <v>10000</v>
      </c>
      <c r="T21" s="160">
        <v>4500</v>
      </c>
      <c r="U21" s="157">
        <v>1</v>
      </c>
      <c r="V21" s="160"/>
    </row>
    <row r="22" spans="1:22" s="139" customFormat="1" ht="60" customHeight="1" x14ac:dyDescent="0.3">
      <c r="A22" s="28">
        <f t="shared" si="4"/>
        <v>10</v>
      </c>
      <c r="B22" s="220" t="s">
        <v>431</v>
      </c>
      <c r="C22" s="221"/>
      <c r="D22" s="28" t="s">
        <v>4</v>
      </c>
      <c r="E22" s="37">
        <v>1</v>
      </c>
      <c r="F22" s="94">
        <v>5000</v>
      </c>
      <c r="G22" s="42">
        <f t="shared" si="0"/>
        <v>5000</v>
      </c>
      <c r="H22" s="28"/>
      <c r="I22" s="7"/>
      <c r="J22" s="28"/>
      <c r="K22" s="28"/>
      <c r="L22" s="28">
        <v>0.5</v>
      </c>
      <c r="M22" s="28">
        <v>0.5</v>
      </c>
      <c r="N22" s="166">
        <f t="shared" si="1"/>
        <v>15270</v>
      </c>
      <c r="O22" s="163"/>
      <c r="P22" s="179">
        <f t="shared" si="2"/>
        <v>0</v>
      </c>
      <c r="Q22" s="184">
        <f t="shared" si="3"/>
        <v>19851</v>
      </c>
      <c r="R22" s="163"/>
      <c r="S22" s="160">
        <v>18</v>
      </c>
      <c r="T22" s="160">
        <f>315*S22</f>
        <v>5670</v>
      </c>
      <c r="U22" s="160">
        <v>20</v>
      </c>
      <c r="V22" s="160">
        <f>480*U22</f>
        <v>9600</v>
      </c>
    </row>
    <row r="23" spans="1:22" s="139" customFormat="1" ht="60" customHeight="1" x14ac:dyDescent="0.3">
      <c r="A23" s="28">
        <f t="shared" si="4"/>
        <v>11</v>
      </c>
      <c r="B23" s="220" t="s">
        <v>432</v>
      </c>
      <c r="C23" s="221"/>
      <c r="D23" s="28" t="s">
        <v>4</v>
      </c>
      <c r="E23" s="37">
        <v>1</v>
      </c>
      <c r="F23" s="94">
        <v>8000</v>
      </c>
      <c r="G23" s="42">
        <f>E23*F23</f>
        <v>8000</v>
      </c>
      <c r="H23" s="28"/>
      <c r="I23" s="7"/>
      <c r="J23" s="28"/>
      <c r="K23" s="28"/>
      <c r="L23" s="28">
        <v>0.3</v>
      </c>
      <c r="M23" s="28">
        <v>0.3</v>
      </c>
      <c r="N23" s="166">
        <f t="shared" si="1"/>
        <v>15270</v>
      </c>
      <c r="O23" s="163"/>
      <c r="P23" s="179">
        <f t="shared" si="2"/>
        <v>0</v>
      </c>
      <c r="Q23" s="184">
        <f t="shared" si="3"/>
        <v>19851</v>
      </c>
      <c r="R23" s="163"/>
      <c r="S23" s="160">
        <v>18</v>
      </c>
      <c r="T23" s="160">
        <f>315*S23</f>
        <v>5670</v>
      </c>
      <c r="U23" s="160">
        <v>20</v>
      </c>
      <c r="V23" s="160">
        <f>480*U23</f>
        <v>9600</v>
      </c>
    </row>
    <row r="24" spans="1:22" s="139" customFormat="1" ht="60" customHeight="1" x14ac:dyDescent="0.3">
      <c r="A24" s="28">
        <f t="shared" si="4"/>
        <v>12</v>
      </c>
      <c r="B24" s="220" t="s">
        <v>433</v>
      </c>
      <c r="C24" s="221"/>
      <c r="D24" s="28" t="s">
        <v>4</v>
      </c>
      <c r="E24" s="37">
        <v>1</v>
      </c>
      <c r="F24" s="94">
        <v>35000</v>
      </c>
      <c r="G24" s="42">
        <f>E24*F24</f>
        <v>35000</v>
      </c>
      <c r="H24" s="28"/>
      <c r="I24" s="7"/>
      <c r="J24" s="28"/>
      <c r="K24" s="28"/>
      <c r="L24" s="28">
        <v>0.5</v>
      </c>
      <c r="M24" s="28"/>
      <c r="N24" s="166">
        <f>ROUNDUP(E24*L24/S24,0)*T24+ROUNDUP(E24*M24/U24,0)*V24</f>
        <v>9600</v>
      </c>
      <c r="O24" s="163"/>
      <c r="P24" s="179">
        <f t="shared" si="2"/>
        <v>0</v>
      </c>
      <c r="Q24" s="184">
        <f t="shared" si="3"/>
        <v>12480</v>
      </c>
      <c r="R24" s="163"/>
      <c r="S24" s="160">
        <v>20</v>
      </c>
      <c r="T24" s="160">
        <f>480*S24</f>
        <v>9600</v>
      </c>
      <c r="U24" s="160">
        <v>1</v>
      </c>
      <c r="V24" s="160"/>
    </row>
    <row r="25" spans="1:22" s="139" customFormat="1" ht="60" customHeight="1" x14ac:dyDescent="0.3">
      <c r="A25" s="28">
        <f t="shared" si="4"/>
        <v>13</v>
      </c>
      <c r="B25" s="220" t="s">
        <v>424</v>
      </c>
      <c r="C25" s="221"/>
      <c r="D25" s="28" t="s">
        <v>4</v>
      </c>
      <c r="E25" s="37">
        <v>1</v>
      </c>
      <c r="F25" s="94">
        <f>SUM(G13:G24)*0.1</f>
        <v>11560</v>
      </c>
      <c r="G25" s="42">
        <f t="shared" si="0"/>
        <v>11560</v>
      </c>
      <c r="H25" s="28"/>
      <c r="I25" s="7"/>
      <c r="J25" s="28"/>
      <c r="K25" s="28"/>
      <c r="L25" s="28">
        <v>0.14499999999999999</v>
      </c>
      <c r="M25" s="28"/>
      <c r="N25" s="166">
        <f t="shared" ref="N25:N26" si="5">ROUNDUP(E25*L25/S25,0)*T25+ROUNDUP(E25*M25/U25,0)*V25</f>
        <v>4500</v>
      </c>
      <c r="O25" s="163"/>
      <c r="P25" s="179">
        <f t="shared" si="2"/>
        <v>0</v>
      </c>
      <c r="Q25" s="184">
        <f t="shared" si="3"/>
        <v>5850</v>
      </c>
      <c r="R25" s="163"/>
      <c r="S25" s="160">
        <v>10</v>
      </c>
      <c r="T25" s="160">
        <f>450*10</f>
        <v>4500</v>
      </c>
      <c r="U25" s="160">
        <v>1</v>
      </c>
      <c r="V25" s="160"/>
    </row>
    <row r="26" spans="1:22" s="139" customFormat="1" ht="60" customHeight="1" x14ac:dyDescent="0.3">
      <c r="A26" s="28">
        <f t="shared" si="4"/>
        <v>14</v>
      </c>
      <c r="B26" s="220" t="s">
        <v>594</v>
      </c>
      <c r="C26" s="221"/>
      <c r="D26" s="28" t="s">
        <v>11</v>
      </c>
      <c r="E26" s="37">
        <v>1</v>
      </c>
      <c r="F26" s="190">
        <v>-1000</v>
      </c>
      <c r="G26" s="190">
        <f t="shared" si="0"/>
        <v>-1000</v>
      </c>
      <c r="H26" s="28"/>
      <c r="I26" s="7"/>
      <c r="J26" s="28"/>
      <c r="K26" s="28"/>
      <c r="L26" s="28">
        <v>150</v>
      </c>
      <c r="M26" s="28"/>
      <c r="N26" s="166">
        <f t="shared" si="5"/>
        <v>150</v>
      </c>
      <c r="O26" s="163"/>
      <c r="P26" s="179">
        <f t="shared" si="2"/>
        <v>0</v>
      </c>
      <c r="Q26" s="184">
        <f t="shared" si="3"/>
        <v>195</v>
      </c>
      <c r="R26" s="163"/>
      <c r="S26" s="157">
        <v>750</v>
      </c>
      <c r="T26" s="165">
        <v>150</v>
      </c>
      <c r="U26" s="160">
        <v>1</v>
      </c>
      <c r="V26" s="165"/>
    </row>
    <row r="27" spans="1:22" s="145" customFormat="1" x14ac:dyDescent="0.3">
      <c r="A27" s="28"/>
      <c r="B27" s="215" t="s">
        <v>481</v>
      </c>
      <c r="C27" s="216"/>
      <c r="D27" s="28"/>
      <c r="E27" s="37"/>
      <c r="F27" s="94"/>
      <c r="G27" s="156">
        <f>SUM(G13:G26)</f>
        <v>126160</v>
      </c>
      <c r="H27" s="28"/>
      <c r="I27" s="7"/>
      <c r="J27" s="170"/>
      <c r="K27" s="170"/>
      <c r="L27" s="170"/>
      <c r="M27" s="170"/>
      <c r="N27" s="171"/>
      <c r="O27" s="171"/>
      <c r="P27" s="171"/>
      <c r="Q27" s="182"/>
      <c r="R27" s="171"/>
      <c r="S27" s="172"/>
      <c r="T27" s="172"/>
      <c r="U27" s="172"/>
      <c r="V27" s="172"/>
    </row>
    <row r="28" spans="1:22" s="145" customFormat="1" x14ac:dyDescent="0.3">
      <c r="A28" s="28"/>
      <c r="B28" s="215" t="s">
        <v>482</v>
      </c>
      <c r="C28" s="216"/>
      <c r="D28" s="28"/>
      <c r="E28" s="37"/>
      <c r="F28" s="94"/>
      <c r="G28" s="156">
        <f>G27*0.05</f>
        <v>6308</v>
      </c>
      <c r="H28" s="28"/>
      <c r="I28" s="7"/>
      <c r="J28" s="170"/>
      <c r="K28" s="170"/>
      <c r="L28" s="170"/>
      <c r="M28" s="170"/>
      <c r="N28" s="171"/>
      <c r="O28" s="171"/>
      <c r="P28" s="171"/>
      <c r="Q28" s="182"/>
      <c r="R28" s="171"/>
      <c r="S28" s="172"/>
      <c r="T28" s="172"/>
      <c r="U28" s="172"/>
      <c r="V28" s="172"/>
    </row>
    <row r="29" spans="1:22" ht="30" customHeight="1" x14ac:dyDescent="0.3">
      <c r="A29" s="28"/>
      <c r="B29" s="238" t="s">
        <v>16</v>
      </c>
      <c r="C29" s="239"/>
      <c r="D29" s="28"/>
      <c r="E29" s="68"/>
      <c r="F29" s="49"/>
      <c r="G29" s="155">
        <f>G27+G28</f>
        <v>132468</v>
      </c>
      <c r="H29" s="78"/>
      <c r="I29" s="159"/>
      <c r="J29" s="28"/>
      <c r="K29" s="28"/>
      <c r="L29" s="28"/>
      <c r="M29" s="28"/>
      <c r="N29" s="28"/>
      <c r="O29" s="43"/>
      <c r="P29" s="43"/>
      <c r="Q29" s="183"/>
      <c r="R29" s="43"/>
      <c r="S29" s="28"/>
      <c r="T29" s="28"/>
      <c r="U29" s="28"/>
      <c r="V29" s="28"/>
    </row>
    <row r="30" spans="1:22" x14ac:dyDescent="0.3">
      <c r="A30" s="228" t="s">
        <v>17</v>
      </c>
      <c r="B30" s="193">
        <f t="shared" ref="B30:B35" si="6">ROW()-29</f>
        <v>1</v>
      </c>
      <c r="C30" s="230" t="s">
        <v>602</v>
      </c>
      <c r="D30" s="227"/>
      <c r="E30" s="227"/>
      <c r="F30" s="227"/>
      <c r="G30" s="227"/>
      <c r="H30" s="227"/>
      <c r="J30" s="43"/>
      <c r="K30" s="43"/>
      <c r="L30" s="43"/>
      <c r="M30" s="43"/>
      <c r="N30" s="43"/>
      <c r="O30" s="43"/>
      <c r="P30" s="43"/>
      <c r="Q30" s="183"/>
      <c r="R30" s="43"/>
      <c r="S30" s="28"/>
      <c r="T30" s="28"/>
      <c r="U30" s="28"/>
      <c r="V30" s="28"/>
    </row>
    <row r="31" spans="1:22" x14ac:dyDescent="0.3">
      <c r="A31" s="228"/>
      <c r="B31" s="193">
        <f t="shared" si="6"/>
        <v>2</v>
      </c>
      <c r="C31" s="227" t="s">
        <v>596</v>
      </c>
      <c r="D31" s="227"/>
      <c r="E31" s="227"/>
      <c r="F31" s="227"/>
      <c r="G31" s="227"/>
      <c r="H31" s="227"/>
      <c r="J31" s="77"/>
      <c r="K31" s="77"/>
      <c r="L31" s="77"/>
      <c r="M31" s="77"/>
      <c r="N31" s="43"/>
      <c r="O31" s="43"/>
      <c r="P31" s="43"/>
      <c r="Q31" s="183"/>
      <c r="R31" s="43"/>
      <c r="S31" s="28"/>
      <c r="T31" s="28"/>
      <c r="U31" s="28"/>
      <c r="V31" s="28"/>
    </row>
    <row r="32" spans="1:22" x14ac:dyDescent="0.3">
      <c r="A32" s="228"/>
      <c r="B32" s="193">
        <f t="shared" si="6"/>
        <v>3</v>
      </c>
      <c r="C32" s="227" t="s">
        <v>597</v>
      </c>
      <c r="D32" s="227"/>
      <c r="E32" s="227"/>
      <c r="F32" s="227"/>
      <c r="G32" s="227"/>
      <c r="H32" s="227"/>
      <c r="J32" s="43"/>
      <c r="K32" s="43"/>
      <c r="L32" s="43"/>
      <c r="M32" s="43"/>
      <c r="N32" s="43"/>
      <c r="O32" s="43"/>
      <c r="P32" s="43"/>
      <c r="Q32" s="183"/>
      <c r="R32" s="43"/>
      <c r="S32" s="28"/>
      <c r="T32" s="28"/>
      <c r="U32" s="28"/>
      <c r="V32" s="28"/>
    </row>
    <row r="33" spans="1:22" x14ac:dyDescent="0.3">
      <c r="A33" s="228"/>
      <c r="B33" s="193">
        <f t="shared" si="6"/>
        <v>4</v>
      </c>
      <c r="C33" s="233" t="s">
        <v>662</v>
      </c>
      <c r="D33" s="234"/>
      <c r="E33" s="234"/>
      <c r="F33" s="234"/>
      <c r="G33" s="234"/>
      <c r="H33" s="235"/>
      <c r="J33" s="43"/>
      <c r="K33" s="43"/>
      <c r="L33" s="43"/>
      <c r="M33" s="43"/>
      <c r="N33" s="43"/>
      <c r="O33" s="43"/>
      <c r="P33" s="43"/>
      <c r="Q33" s="183"/>
      <c r="R33" s="43"/>
      <c r="S33" s="28"/>
      <c r="T33" s="28"/>
      <c r="U33" s="28"/>
      <c r="V33" s="28"/>
    </row>
    <row r="34" spans="1:22" x14ac:dyDescent="0.3">
      <c r="A34" s="228"/>
      <c r="B34" s="193">
        <f t="shared" si="6"/>
        <v>5</v>
      </c>
      <c r="C34" s="227" t="s">
        <v>598</v>
      </c>
      <c r="D34" s="227"/>
      <c r="E34" s="227"/>
      <c r="F34" s="227"/>
      <c r="G34" s="227"/>
      <c r="H34" s="227"/>
      <c r="J34" s="43"/>
      <c r="K34" s="43"/>
      <c r="L34" s="43"/>
      <c r="M34" s="43"/>
      <c r="N34" s="43"/>
      <c r="O34" s="43"/>
      <c r="P34" s="43"/>
      <c r="Q34" s="183"/>
      <c r="R34" s="43"/>
      <c r="S34" s="28"/>
      <c r="T34" s="28"/>
      <c r="U34" s="28"/>
      <c r="V34" s="28"/>
    </row>
    <row r="35" spans="1:22" x14ac:dyDescent="0.3">
      <c r="A35" s="229"/>
      <c r="B35" s="193">
        <f t="shared" si="6"/>
        <v>6</v>
      </c>
      <c r="C35" s="227" t="s">
        <v>599</v>
      </c>
      <c r="D35" s="227"/>
      <c r="E35" s="227"/>
      <c r="F35" s="227"/>
      <c r="G35" s="227"/>
      <c r="H35" s="227"/>
      <c r="J35" s="43"/>
      <c r="K35" s="43"/>
      <c r="L35" s="43"/>
      <c r="M35" s="43"/>
      <c r="N35" s="43"/>
      <c r="O35" s="43"/>
      <c r="P35" s="43"/>
      <c r="Q35" s="183"/>
      <c r="R35" s="43"/>
      <c r="S35" s="28"/>
      <c r="T35" s="28"/>
      <c r="U35" s="28"/>
      <c r="V35" s="28"/>
    </row>
    <row r="36" spans="1:22" x14ac:dyDescent="0.3">
      <c r="A36" s="17" t="s">
        <v>49</v>
      </c>
      <c r="B36" s="3"/>
      <c r="H36" s="20"/>
      <c r="J36" s="43"/>
      <c r="K36" s="43"/>
      <c r="L36" s="43"/>
      <c r="M36" s="43"/>
      <c r="N36" s="43"/>
      <c r="O36" s="43"/>
      <c r="P36" s="43"/>
      <c r="Q36" s="183"/>
      <c r="R36" s="43"/>
      <c r="S36" s="28"/>
      <c r="T36" s="28"/>
      <c r="U36" s="28"/>
      <c r="V36" s="28"/>
    </row>
    <row r="37" spans="1:22" x14ac:dyDescent="0.3">
      <c r="A37" s="17" t="s">
        <v>535</v>
      </c>
      <c r="B37" s="3"/>
      <c r="H37" s="20"/>
      <c r="J37" s="43"/>
      <c r="K37" s="43"/>
      <c r="L37" s="43"/>
      <c r="M37" s="43"/>
      <c r="N37" s="43"/>
      <c r="O37" s="43"/>
      <c r="P37" s="43"/>
      <c r="Q37" s="183"/>
      <c r="R37" s="43"/>
      <c r="S37" s="28"/>
      <c r="T37" s="28"/>
      <c r="U37" s="28"/>
      <c r="V37" s="28"/>
    </row>
    <row r="38" spans="1:22" x14ac:dyDescent="0.3">
      <c r="A38" s="154" t="s">
        <v>250</v>
      </c>
      <c r="B38" s="192"/>
      <c r="C38" s="24"/>
      <c r="D38" s="24"/>
      <c r="E38" s="84"/>
      <c r="F38" s="85"/>
      <c r="G38" s="86"/>
      <c r="H38" s="87"/>
      <c r="J38" s="43"/>
      <c r="K38" s="43"/>
      <c r="L38" s="43"/>
      <c r="M38" s="43"/>
      <c r="N38" s="43"/>
      <c r="O38" s="43"/>
      <c r="P38" s="43"/>
      <c r="Q38" s="183"/>
      <c r="R38" s="43"/>
      <c r="S38" s="28"/>
      <c r="T38" s="28"/>
      <c r="U38" s="28"/>
      <c r="V38" s="28"/>
    </row>
  </sheetData>
  <mergeCells count="27">
    <mergeCell ref="A30:A35"/>
    <mergeCell ref="C30:H30"/>
    <mergeCell ref="C31:H31"/>
    <mergeCell ref="C32:H32"/>
    <mergeCell ref="C33:H33"/>
    <mergeCell ref="C34:H34"/>
    <mergeCell ref="C35:H35"/>
    <mergeCell ref="B27:C27"/>
    <mergeCell ref="B28:C28"/>
    <mergeCell ref="B29:C29"/>
    <mergeCell ref="B21:C21"/>
    <mergeCell ref="B22:C22"/>
    <mergeCell ref="B23:C23"/>
    <mergeCell ref="B24:C24"/>
    <mergeCell ref="B25:C25"/>
    <mergeCell ref="B26:C26"/>
    <mergeCell ref="B20:C20"/>
    <mergeCell ref="A1:H1"/>
    <mergeCell ref="G3:H3"/>
    <mergeCell ref="B12:C12"/>
    <mergeCell ref="B13:C13"/>
    <mergeCell ref="B14:C14"/>
    <mergeCell ref="B15:C15"/>
    <mergeCell ref="B16:C16"/>
    <mergeCell ref="B17:C17"/>
    <mergeCell ref="B18:C18"/>
    <mergeCell ref="B19:C19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3" fitToHeight="0" orientation="portrait" horizontalDpi="300" verticalDpi="300" r:id="rId1"/>
  <headerFooter alignWithMargins="0"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8B24-EDFF-284C-944E-7C987FFD4EA2}">
  <sheetPr>
    <tabColor theme="9" tint="0.79998168889431442"/>
    <pageSetUpPr fitToPage="1"/>
  </sheetPr>
  <dimension ref="A1:V88"/>
  <sheetViews>
    <sheetView showGridLines="0" view="pageBreakPreview" zoomScale="110" zoomScaleNormal="70" zoomScaleSheetLayoutView="85" zoomScalePageLayoutView="85" workbookViewId="0">
      <selection activeCell="C89" sqref="C89"/>
    </sheetView>
  </sheetViews>
  <sheetFormatPr defaultColWidth="9" defaultRowHeight="17.399999999999999" x14ac:dyDescent="0.3"/>
  <cols>
    <col min="1" max="1" width="5.6640625" style="7" customWidth="1"/>
    <col min="2" max="2" width="9" style="7" bestFit="1" customWidth="1"/>
    <col min="3" max="3" width="59.6640625" style="4" customWidth="1"/>
    <col min="4" max="4" width="8.44140625" style="4" customWidth="1"/>
    <col min="5" max="5" width="10.6640625" style="69" bestFit="1" customWidth="1"/>
    <col min="6" max="6" width="1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44140625" style="4" bestFit="1" customWidth="1"/>
    <col min="12" max="13" width="20" style="4" bestFit="1" customWidth="1"/>
    <col min="14" max="14" width="14.6640625" style="4" bestFit="1" customWidth="1"/>
    <col min="15" max="15" width="17.6640625" style="4" bestFit="1" customWidth="1"/>
    <col min="16" max="16" width="14.6640625" style="4" bestFit="1" customWidth="1"/>
    <col min="17" max="17" width="16.109375" style="181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6"/>
      <c r="G3" s="223"/>
      <c r="H3" s="224"/>
      <c r="I3" s="73"/>
    </row>
    <row r="4" spans="1:22" x14ac:dyDescent="0.3">
      <c r="A4" s="17"/>
      <c r="B4" s="3"/>
      <c r="D4" s="7"/>
      <c r="E4" s="72"/>
      <c r="F4" s="19"/>
      <c r="G4" s="19"/>
      <c r="H4" s="20"/>
    </row>
    <row r="5" spans="1:22" x14ac:dyDescent="0.3">
      <c r="A5" s="17"/>
      <c r="B5" s="3"/>
      <c r="D5" s="7"/>
      <c r="E5" s="72"/>
      <c r="F5" s="19"/>
      <c r="G5" s="73"/>
      <c r="H5" s="74"/>
      <c r="I5" s="73"/>
    </row>
    <row r="6" spans="1:22" x14ac:dyDescent="0.3">
      <c r="A6" s="17"/>
      <c r="B6" s="3"/>
      <c r="D6" s="7"/>
      <c r="E6" s="72"/>
      <c r="G6" s="73"/>
      <c r="H6" s="74"/>
      <c r="I6" s="73"/>
    </row>
    <row r="7" spans="1:22" x14ac:dyDescent="0.3">
      <c r="A7" s="17"/>
      <c r="B7" s="3"/>
      <c r="D7" s="7"/>
      <c r="E7" s="72"/>
      <c r="F7" s="19" t="s">
        <v>21</v>
      </c>
      <c r="G7" s="73"/>
      <c r="H7" s="74"/>
      <c r="I7" s="73"/>
    </row>
    <row r="8" spans="1:22" x14ac:dyDescent="0.3">
      <c r="A8" s="17"/>
      <c r="B8" s="3"/>
      <c r="D8" s="7"/>
      <c r="E8" s="72"/>
      <c r="F8" s="19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22" t="s">
        <v>25</v>
      </c>
      <c r="G10" s="73"/>
      <c r="H10" s="74"/>
      <c r="I10" s="73"/>
    </row>
    <row r="11" spans="1:22" ht="22.2" customHeight="1" x14ac:dyDescent="0.3">
      <c r="A11" s="23" t="s">
        <v>681</v>
      </c>
      <c r="B11" s="24"/>
      <c r="C11" s="24"/>
      <c r="D11" s="25"/>
      <c r="E11" s="62"/>
      <c r="F11" s="19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180" t="s">
        <v>558</v>
      </c>
      <c r="R12" s="161">
        <v>1.2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x14ac:dyDescent="0.3">
      <c r="A13" s="28" t="s">
        <v>34</v>
      </c>
      <c r="B13" s="217" t="s">
        <v>702</v>
      </c>
      <c r="C13" s="218"/>
      <c r="D13" s="218"/>
      <c r="E13" s="218"/>
      <c r="F13" s="218"/>
      <c r="G13" s="218"/>
      <c r="H13" s="219"/>
      <c r="I13" s="7"/>
      <c r="J13" s="157"/>
      <c r="K13" s="157"/>
      <c r="L13" s="187"/>
      <c r="M13" s="187"/>
      <c r="N13" s="162"/>
      <c r="O13" s="186"/>
      <c r="P13" s="162"/>
      <c r="Q13" s="180"/>
      <c r="R13" s="161"/>
      <c r="S13" s="157"/>
      <c r="T13" s="157"/>
      <c r="U13" s="157"/>
      <c r="V13" s="157"/>
    </row>
    <row r="14" spans="1:22" x14ac:dyDescent="0.3">
      <c r="A14" s="28" t="s">
        <v>624</v>
      </c>
      <c r="B14" s="217" t="s">
        <v>693</v>
      </c>
      <c r="C14" s="218"/>
      <c r="D14" s="218"/>
      <c r="E14" s="218"/>
      <c r="F14" s="218"/>
      <c r="G14" s="218"/>
      <c r="H14" s="219"/>
      <c r="I14" s="7"/>
      <c r="J14" s="157"/>
      <c r="K14" s="157"/>
      <c r="L14" s="187"/>
      <c r="M14" s="187"/>
      <c r="N14" s="162"/>
      <c r="O14" s="186"/>
      <c r="P14" s="162"/>
      <c r="Q14" s="180"/>
      <c r="R14" s="161"/>
      <c r="S14" s="157"/>
      <c r="T14" s="157"/>
      <c r="U14" s="157"/>
      <c r="V14" s="157"/>
    </row>
    <row r="15" spans="1:22" s="139" customFormat="1" ht="60" customHeight="1" x14ac:dyDescent="0.3">
      <c r="A15" s="28">
        <f>ROW()-14</f>
        <v>1</v>
      </c>
      <c r="B15" s="220" t="s">
        <v>583</v>
      </c>
      <c r="C15" s="221"/>
      <c r="D15" s="28" t="s">
        <v>252</v>
      </c>
      <c r="E15" s="37">
        <f>1.7*2+(1.7+2)*2*2-2*0.8</f>
        <v>16.599999999999998</v>
      </c>
      <c r="F15" s="190">
        <v>265</v>
      </c>
      <c r="G15" s="42">
        <f t="shared" ref="G15:G18" si="0">E15*F15</f>
        <v>4398.9999999999991</v>
      </c>
      <c r="H15" s="28" t="s">
        <v>673</v>
      </c>
      <c r="I15" s="7"/>
      <c r="J15" s="173">
        <f>E15*L15/S15</f>
        <v>0.41499999999999998</v>
      </c>
      <c r="K15" s="28"/>
      <c r="L15" s="157">
        <v>0.4</v>
      </c>
      <c r="M15" s="157"/>
      <c r="N15" s="166">
        <f>E15*L15/S15*T15</f>
        <v>2490</v>
      </c>
      <c r="O15" s="163">
        <v>70</v>
      </c>
      <c r="P15" s="179">
        <f t="shared" ref="P15:P18" si="1">E15*O15</f>
        <v>1161.9999999999998</v>
      </c>
      <c r="Q15" s="180">
        <f>(K15+N15+P15)*($R$12)</f>
        <v>4382.3999999999996</v>
      </c>
      <c r="R15" s="157"/>
      <c r="S15" s="157">
        <v>16</v>
      </c>
      <c r="T15" s="157">
        <v>6000</v>
      </c>
      <c r="U15" s="157">
        <v>1</v>
      </c>
      <c r="V15" s="157"/>
    </row>
    <row r="16" spans="1:22" s="139" customFormat="1" ht="60" customHeight="1" x14ac:dyDescent="0.3">
      <c r="A16" s="28">
        <f t="shared" ref="A16:A19" si="2">ROW()-14</f>
        <v>2</v>
      </c>
      <c r="B16" s="220" t="s">
        <v>688</v>
      </c>
      <c r="C16" s="221"/>
      <c r="D16" s="28" t="s">
        <v>3</v>
      </c>
      <c r="E16" s="37">
        <f>(1.5+2)*2+2*4</f>
        <v>15</v>
      </c>
      <c r="F16" s="94">
        <v>300</v>
      </c>
      <c r="G16" s="42">
        <f t="shared" si="0"/>
        <v>4500</v>
      </c>
      <c r="H16" s="28"/>
      <c r="I16" s="7"/>
      <c r="J16" s="28">
        <f>ROUNDUP(E16*L16/S16,0)</f>
        <v>6</v>
      </c>
      <c r="K16" s="28"/>
      <c r="L16" s="28">
        <v>100</v>
      </c>
      <c r="M16" s="28"/>
      <c r="N16" s="166">
        <f t="shared" ref="N16" si="3">ROUNDUP(E16*L16/S16,0)*T16+ROUNDUP(E16*M16/U16,0)*V16</f>
        <v>2400</v>
      </c>
      <c r="O16" s="163">
        <v>100</v>
      </c>
      <c r="P16" s="179">
        <f t="shared" si="1"/>
        <v>1500</v>
      </c>
      <c r="Q16" s="180">
        <f t="shared" ref="Q16:Q18" si="4">(K16+(N16+P16))*$R$12</f>
        <v>4680</v>
      </c>
      <c r="R16" s="163"/>
      <c r="S16" s="157">
        <v>290</v>
      </c>
      <c r="T16" s="157">
        <v>400</v>
      </c>
      <c r="U16" s="157">
        <v>1</v>
      </c>
      <c r="V16" s="157"/>
    </row>
    <row r="17" spans="1:22" s="139" customFormat="1" ht="60" customHeight="1" x14ac:dyDescent="0.3">
      <c r="A17" s="28">
        <f t="shared" si="2"/>
        <v>3</v>
      </c>
      <c r="B17" s="220" t="s">
        <v>671</v>
      </c>
      <c r="C17" s="221"/>
      <c r="D17" s="28" t="s">
        <v>13</v>
      </c>
      <c r="E17" s="37">
        <v>1</v>
      </c>
      <c r="F17" s="94">
        <v>1000</v>
      </c>
      <c r="G17" s="42">
        <f t="shared" si="0"/>
        <v>1000</v>
      </c>
      <c r="H17" s="28"/>
      <c r="I17" s="7"/>
      <c r="J17" s="28"/>
      <c r="K17" s="28"/>
      <c r="L17" s="28">
        <v>1</v>
      </c>
      <c r="M17" s="28"/>
      <c r="N17" s="166">
        <v>500</v>
      </c>
      <c r="O17" s="163">
        <v>200</v>
      </c>
      <c r="P17" s="179">
        <f t="shared" si="1"/>
        <v>200</v>
      </c>
      <c r="Q17" s="180">
        <f t="shared" si="4"/>
        <v>840</v>
      </c>
      <c r="R17" s="163"/>
      <c r="S17" s="164">
        <v>1</v>
      </c>
      <c r="T17" s="157">
        <v>1000</v>
      </c>
      <c r="U17" s="157">
        <v>1</v>
      </c>
      <c r="V17" s="157"/>
    </row>
    <row r="18" spans="1:22" s="139" customFormat="1" ht="60" customHeight="1" x14ac:dyDescent="0.3">
      <c r="A18" s="28">
        <f t="shared" si="2"/>
        <v>4</v>
      </c>
      <c r="B18" s="231" t="s">
        <v>685</v>
      </c>
      <c r="C18" s="232"/>
      <c r="D18" s="28" t="s">
        <v>252</v>
      </c>
      <c r="E18" s="37">
        <f>(1.7+2)*2*2-2*0.8</f>
        <v>13.200000000000001</v>
      </c>
      <c r="F18" s="94">
        <v>500</v>
      </c>
      <c r="G18" s="42">
        <f t="shared" si="0"/>
        <v>6600.0000000000009</v>
      </c>
      <c r="H18" s="28" t="s">
        <v>687</v>
      </c>
      <c r="I18" s="7"/>
      <c r="J18" s="28">
        <f>ROUND(E18*L18/S18,1)</f>
        <v>0.8</v>
      </c>
      <c r="K18" s="28"/>
      <c r="L18" s="28">
        <v>1.2</v>
      </c>
      <c r="M18" s="28">
        <v>1</v>
      </c>
      <c r="N18" s="166">
        <f>ROUND(E18*L18/S18,1)*T18+ROUND(E18*M18/U18,1)*V18</f>
        <v>1600</v>
      </c>
      <c r="O18" s="163">
        <v>300</v>
      </c>
      <c r="P18" s="179">
        <f t="shared" si="1"/>
        <v>3960.0000000000005</v>
      </c>
      <c r="Q18" s="180">
        <f t="shared" si="4"/>
        <v>6672</v>
      </c>
      <c r="R18" s="163"/>
      <c r="S18" s="157">
        <v>20</v>
      </c>
      <c r="T18" s="157">
        <v>2000</v>
      </c>
      <c r="U18" s="157">
        <v>50</v>
      </c>
      <c r="V18" s="160">
        <v>0</v>
      </c>
    </row>
    <row r="19" spans="1:22" s="139" customFormat="1" ht="60" customHeight="1" x14ac:dyDescent="0.3">
      <c r="A19" s="28">
        <f t="shared" si="2"/>
        <v>5</v>
      </c>
      <c r="B19" s="231" t="s">
        <v>686</v>
      </c>
      <c r="C19" s="232"/>
      <c r="D19" s="28" t="s">
        <v>252</v>
      </c>
      <c r="E19" s="37">
        <f>1.7*2</f>
        <v>3.4</v>
      </c>
      <c r="F19" s="94">
        <v>1500</v>
      </c>
      <c r="G19" s="42">
        <f>E19*F19</f>
        <v>5100</v>
      </c>
      <c r="H19" s="28" t="s">
        <v>687</v>
      </c>
      <c r="I19" s="7"/>
      <c r="J19" s="28">
        <f>ROUND(E19*L19/S19,1)</f>
        <v>0.5</v>
      </c>
      <c r="K19" s="28"/>
      <c r="L19" s="28">
        <v>3</v>
      </c>
      <c r="M19" s="28">
        <v>1</v>
      </c>
      <c r="N19" s="166">
        <f>ROUND(E19*L19/S19,1)*T19+ROUND(E19*M19/U19,1)*V19</f>
        <v>1000</v>
      </c>
      <c r="O19" s="163">
        <v>950</v>
      </c>
      <c r="P19" s="179">
        <f>E19*O19</f>
        <v>3230</v>
      </c>
      <c r="Q19" s="180">
        <f>(K19+(N19+P19))*$R$12</f>
        <v>5076</v>
      </c>
      <c r="R19" s="163"/>
      <c r="S19" s="157">
        <v>20</v>
      </c>
      <c r="T19" s="157">
        <v>2000</v>
      </c>
      <c r="U19" s="157">
        <v>50</v>
      </c>
      <c r="V19" s="160">
        <v>0</v>
      </c>
    </row>
    <row r="20" spans="1:22" s="145" customFormat="1" x14ac:dyDescent="0.3">
      <c r="A20" s="28"/>
      <c r="B20" s="215" t="s">
        <v>481</v>
      </c>
      <c r="C20" s="216"/>
      <c r="D20" s="28"/>
      <c r="E20" s="37"/>
      <c r="F20" s="94"/>
      <c r="G20" s="156">
        <f>SUM(G15:G19)</f>
        <v>21599</v>
      </c>
      <c r="H20" s="28"/>
      <c r="I20" s="7"/>
      <c r="J20" s="170"/>
      <c r="K20" s="170"/>
      <c r="L20" s="170"/>
      <c r="M20" s="170"/>
      <c r="N20" s="171"/>
      <c r="O20" s="171"/>
      <c r="P20" s="171"/>
      <c r="Q20" s="182"/>
      <c r="R20" s="171"/>
      <c r="S20" s="172"/>
      <c r="T20" s="172"/>
      <c r="U20" s="172"/>
      <c r="V20" s="172"/>
    </row>
    <row r="21" spans="1:22" x14ac:dyDescent="0.3">
      <c r="A21" s="28" t="s">
        <v>625</v>
      </c>
      <c r="B21" s="217" t="s">
        <v>692</v>
      </c>
      <c r="C21" s="218"/>
      <c r="D21" s="218"/>
      <c r="E21" s="218"/>
      <c r="F21" s="218"/>
      <c r="G21" s="218"/>
      <c r="H21" s="219"/>
      <c r="I21" s="7"/>
      <c r="J21" s="157"/>
      <c r="K21" s="157"/>
      <c r="L21" s="187"/>
      <c r="M21" s="187"/>
      <c r="N21" s="162"/>
      <c r="O21" s="186"/>
      <c r="P21" s="162"/>
      <c r="Q21" s="180"/>
      <c r="R21" s="161"/>
      <c r="S21" s="157"/>
      <c r="T21" s="157"/>
      <c r="U21" s="157"/>
      <c r="V21" s="157"/>
    </row>
    <row r="22" spans="1:22" s="139" customFormat="1" ht="60" customHeight="1" x14ac:dyDescent="0.3">
      <c r="A22" s="28">
        <f>ROW()-21</f>
        <v>1</v>
      </c>
      <c r="B22" s="220" t="s">
        <v>583</v>
      </c>
      <c r="C22" s="221"/>
      <c r="D22" s="28" t="s">
        <v>252</v>
      </c>
      <c r="E22" s="37">
        <f>1.7*2+(1.7+2)*2*2-2*0.8</f>
        <v>16.599999999999998</v>
      </c>
      <c r="F22" s="190">
        <v>265</v>
      </c>
      <c r="G22" s="42">
        <f t="shared" ref="G22" si="5">E22*F22</f>
        <v>4398.9999999999991</v>
      </c>
      <c r="H22" s="28" t="s">
        <v>673</v>
      </c>
      <c r="I22" s="7"/>
      <c r="J22" s="173">
        <f>E22*L22/S22</f>
        <v>0.41499999999999998</v>
      </c>
      <c r="K22" s="28"/>
      <c r="L22" s="157">
        <v>0.4</v>
      </c>
      <c r="M22" s="157"/>
      <c r="N22" s="166">
        <f>E22*L22/S22*T22</f>
        <v>2490</v>
      </c>
      <c r="O22" s="163">
        <v>70</v>
      </c>
      <c r="P22" s="179">
        <f t="shared" ref="P22" si="6">E22*O22</f>
        <v>1161.9999999999998</v>
      </c>
      <c r="Q22" s="180">
        <f>(K22+N22+P22)*($R$12)</f>
        <v>4382.3999999999996</v>
      </c>
      <c r="R22" s="157"/>
      <c r="S22" s="157">
        <v>16</v>
      </c>
      <c r="T22" s="157">
        <v>6000</v>
      </c>
      <c r="U22" s="157">
        <v>1</v>
      </c>
      <c r="V22" s="157"/>
    </row>
    <row r="23" spans="1:22" s="139" customFormat="1" ht="60" customHeight="1" x14ac:dyDescent="0.3">
      <c r="A23" s="28">
        <f t="shared" ref="A23:A26" si="7">ROW()-21</f>
        <v>2</v>
      </c>
      <c r="B23" s="220" t="s">
        <v>688</v>
      </c>
      <c r="C23" s="221"/>
      <c r="D23" s="28" t="s">
        <v>3</v>
      </c>
      <c r="E23" s="37">
        <f>(1.5+2)*2+2*4</f>
        <v>15</v>
      </c>
      <c r="F23" s="94">
        <v>300</v>
      </c>
      <c r="G23" s="42">
        <f t="shared" ref="G23:G25" si="8">E23*F23</f>
        <v>4500</v>
      </c>
      <c r="H23" s="28"/>
      <c r="I23" s="7"/>
      <c r="J23" s="28">
        <f>ROUNDUP(E23*L23/S23,0)</f>
        <v>6</v>
      </c>
      <c r="K23" s="28"/>
      <c r="L23" s="28">
        <v>100</v>
      </c>
      <c r="M23" s="28"/>
      <c r="N23" s="166">
        <f t="shared" ref="N23" si="9">ROUNDUP(E23*L23/S23,0)*T23+ROUNDUP(E23*M23/U23,0)*V23</f>
        <v>2400</v>
      </c>
      <c r="O23" s="163">
        <v>100</v>
      </c>
      <c r="P23" s="179">
        <f t="shared" ref="P23:P25" si="10">E23*O23</f>
        <v>1500</v>
      </c>
      <c r="Q23" s="180">
        <f t="shared" ref="Q23:Q25" si="11">(K23+(N23+P23))*$R$12</f>
        <v>4680</v>
      </c>
      <c r="R23" s="163"/>
      <c r="S23" s="157">
        <v>290</v>
      </c>
      <c r="T23" s="157">
        <v>400</v>
      </c>
      <c r="U23" s="157">
        <v>1</v>
      </c>
      <c r="V23" s="157"/>
    </row>
    <row r="24" spans="1:22" s="139" customFormat="1" ht="60" customHeight="1" x14ac:dyDescent="0.3">
      <c r="A24" s="28">
        <f t="shared" si="7"/>
        <v>3</v>
      </c>
      <c r="B24" s="220" t="s">
        <v>671</v>
      </c>
      <c r="C24" s="221"/>
      <c r="D24" s="28" t="s">
        <v>13</v>
      </c>
      <c r="E24" s="37">
        <v>1</v>
      </c>
      <c r="F24" s="94">
        <v>1000</v>
      </c>
      <c r="G24" s="42">
        <f t="shared" si="8"/>
        <v>1000</v>
      </c>
      <c r="H24" s="28"/>
      <c r="I24" s="7"/>
      <c r="J24" s="28"/>
      <c r="K24" s="28"/>
      <c r="L24" s="28">
        <v>1</v>
      </c>
      <c r="M24" s="28"/>
      <c r="N24" s="166">
        <v>500</v>
      </c>
      <c r="O24" s="163">
        <v>200</v>
      </c>
      <c r="P24" s="179">
        <f t="shared" si="10"/>
        <v>200</v>
      </c>
      <c r="Q24" s="180">
        <f t="shared" si="11"/>
        <v>840</v>
      </c>
      <c r="R24" s="163"/>
      <c r="S24" s="164">
        <v>1</v>
      </c>
      <c r="T24" s="157">
        <v>1000</v>
      </c>
      <c r="U24" s="157">
        <v>1</v>
      </c>
      <c r="V24" s="157"/>
    </row>
    <row r="25" spans="1:22" s="139" customFormat="1" ht="60" customHeight="1" x14ac:dyDescent="0.3">
      <c r="A25" s="28">
        <f t="shared" si="7"/>
        <v>4</v>
      </c>
      <c r="B25" s="231" t="s">
        <v>691</v>
      </c>
      <c r="C25" s="232"/>
      <c r="D25" s="28" t="s">
        <v>252</v>
      </c>
      <c r="E25" s="37">
        <f>(1.7+2)*2*2-2*0.8</f>
        <v>13.200000000000001</v>
      </c>
      <c r="F25" s="94">
        <v>1150</v>
      </c>
      <c r="G25" s="42">
        <f t="shared" si="8"/>
        <v>15180.000000000002</v>
      </c>
      <c r="H25" s="28" t="s">
        <v>674</v>
      </c>
      <c r="I25" s="7"/>
      <c r="J25" s="28">
        <f>ROUND(E25*L25/S25,1)</f>
        <v>0.9</v>
      </c>
      <c r="K25" s="28"/>
      <c r="L25" s="28">
        <v>1.2</v>
      </c>
      <c r="M25" s="28">
        <v>1</v>
      </c>
      <c r="N25" s="166">
        <f>ROUND(E25*L25/S25,1)*T25+ROUND(E25*M25/U25,1)*V25</f>
        <v>4050</v>
      </c>
      <c r="O25" s="163">
        <v>500</v>
      </c>
      <c r="P25" s="179">
        <f t="shared" si="10"/>
        <v>6600.0000000000009</v>
      </c>
      <c r="Q25" s="180">
        <f t="shared" si="11"/>
        <v>12780</v>
      </c>
      <c r="R25" s="163"/>
      <c r="S25" s="157">
        <v>18</v>
      </c>
      <c r="T25" s="157">
        <v>2000</v>
      </c>
      <c r="U25" s="157">
        <v>50</v>
      </c>
      <c r="V25" s="160">
        <v>7500</v>
      </c>
    </row>
    <row r="26" spans="1:22" s="139" customFormat="1" ht="60" customHeight="1" x14ac:dyDescent="0.3">
      <c r="A26" s="28">
        <f t="shared" si="7"/>
        <v>5</v>
      </c>
      <c r="B26" s="231" t="s">
        <v>672</v>
      </c>
      <c r="C26" s="232"/>
      <c r="D26" s="28" t="s">
        <v>252</v>
      </c>
      <c r="E26" s="37">
        <f>1.7*2</f>
        <v>3.4</v>
      </c>
      <c r="F26" s="94">
        <v>2000</v>
      </c>
      <c r="G26" s="42">
        <f>E26*F26</f>
        <v>6800</v>
      </c>
      <c r="H26" s="28" t="s">
        <v>674</v>
      </c>
      <c r="I26" s="7"/>
      <c r="J26" s="28">
        <f>ROUND(E26*L26/S26,1)</f>
        <v>0.6</v>
      </c>
      <c r="K26" s="28"/>
      <c r="L26" s="28">
        <v>3</v>
      </c>
      <c r="M26" s="28">
        <v>1</v>
      </c>
      <c r="N26" s="166">
        <f>ROUND(E26*L26/S26,1)*T26+ROUND(E26*M26/U26,1)*V26</f>
        <v>1950</v>
      </c>
      <c r="O26" s="163">
        <v>1000</v>
      </c>
      <c r="P26" s="179">
        <f>E26*O26</f>
        <v>3400</v>
      </c>
      <c r="Q26" s="180">
        <f>(K26+(N26+P26))*$R$12</f>
        <v>6420</v>
      </c>
      <c r="R26" s="163"/>
      <c r="S26" s="157">
        <v>18</v>
      </c>
      <c r="T26" s="157">
        <v>2000</v>
      </c>
      <c r="U26" s="157">
        <v>50</v>
      </c>
      <c r="V26" s="160">
        <v>7500</v>
      </c>
    </row>
    <row r="27" spans="1:22" s="145" customFormat="1" x14ac:dyDescent="0.3">
      <c r="A27" s="28"/>
      <c r="B27" s="215" t="s">
        <v>481</v>
      </c>
      <c r="C27" s="216"/>
      <c r="D27" s="28"/>
      <c r="E27" s="37"/>
      <c r="F27" s="94"/>
      <c r="G27" s="156">
        <f>SUM(G22:G26)</f>
        <v>31879</v>
      </c>
      <c r="H27" s="28"/>
      <c r="I27" s="7"/>
      <c r="J27" s="170"/>
      <c r="K27" s="170"/>
      <c r="L27" s="170"/>
      <c r="M27" s="170"/>
      <c r="N27" s="171"/>
      <c r="O27" s="171"/>
      <c r="P27" s="171"/>
      <c r="Q27" s="182"/>
      <c r="R27" s="171"/>
      <c r="S27" s="172"/>
      <c r="T27" s="172"/>
      <c r="U27" s="172"/>
      <c r="V27" s="172"/>
    </row>
    <row r="28" spans="1:22" x14ac:dyDescent="0.3">
      <c r="A28" s="28" t="s">
        <v>626</v>
      </c>
      <c r="B28" s="217" t="s">
        <v>694</v>
      </c>
      <c r="C28" s="218"/>
      <c r="D28" s="218"/>
      <c r="E28" s="218"/>
      <c r="F28" s="218"/>
      <c r="G28" s="218"/>
      <c r="H28" s="219"/>
      <c r="I28" s="7"/>
      <c r="J28" s="157"/>
      <c r="K28" s="157"/>
      <c r="L28" s="187"/>
      <c r="M28" s="187"/>
      <c r="N28" s="162"/>
      <c r="O28" s="186"/>
      <c r="P28" s="162"/>
      <c r="Q28" s="180"/>
      <c r="R28" s="161"/>
      <c r="S28" s="157"/>
      <c r="T28" s="157"/>
      <c r="U28" s="157"/>
      <c r="V28" s="157"/>
    </row>
    <row r="29" spans="1:22" s="139" customFormat="1" ht="60" customHeight="1" x14ac:dyDescent="0.3">
      <c r="A29" s="28">
        <f>ROW()-28</f>
        <v>1</v>
      </c>
      <c r="B29" s="220" t="s">
        <v>583</v>
      </c>
      <c r="C29" s="221"/>
      <c r="D29" s="28" t="s">
        <v>252</v>
      </c>
      <c r="E29" s="37">
        <f>1.7*2+(1.7+2)*2*2-2*0.8</f>
        <v>16.599999999999998</v>
      </c>
      <c r="F29" s="190">
        <v>265</v>
      </c>
      <c r="G29" s="42">
        <f t="shared" ref="G29:G32" si="12">E29*F29</f>
        <v>4398.9999999999991</v>
      </c>
      <c r="H29" s="28" t="s">
        <v>673</v>
      </c>
      <c r="I29" s="7"/>
      <c r="J29" s="173">
        <f>E29*L29/S29</f>
        <v>0.41499999999999998</v>
      </c>
      <c r="K29" s="28"/>
      <c r="L29" s="157">
        <v>0.4</v>
      </c>
      <c r="M29" s="157"/>
      <c r="N29" s="166">
        <f>E29*L29/S29*T29</f>
        <v>2490</v>
      </c>
      <c r="O29" s="163">
        <v>70</v>
      </c>
      <c r="P29" s="179">
        <f t="shared" ref="P29:P32" si="13">E29*O29</f>
        <v>1161.9999999999998</v>
      </c>
      <c r="Q29" s="180">
        <f>(K29+N29+P29)*($R$12)</f>
        <v>4382.3999999999996</v>
      </c>
      <c r="R29" s="157"/>
      <c r="S29" s="157">
        <v>16</v>
      </c>
      <c r="T29" s="157">
        <v>6000</v>
      </c>
      <c r="U29" s="157">
        <v>1</v>
      </c>
      <c r="V29" s="157"/>
    </row>
    <row r="30" spans="1:22" s="139" customFormat="1" ht="60" customHeight="1" x14ac:dyDescent="0.3">
      <c r="A30" s="28">
        <f t="shared" ref="A30:A33" si="14">ROW()-28</f>
        <v>2</v>
      </c>
      <c r="B30" s="220" t="s">
        <v>688</v>
      </c>
      <c r="C30" s="221"/>
      <c r="D30" s="28" t="s">
        <v>3</v>
      </c>
      <c r="E30" s="37">
        <f>(1.5+2)*2+2*4</f>
        <v>15</v>
      </c>
      <c r="F30" s="94">
        <v>300</v>
      </c>
      <c r="G30" s="42">
        <f t="shared" si="12"/>
        <v>4500</v>
      </c>
      <c r="H30" s="28"/>
      <c r="I30" s="7"/>
      <c r="J30" s="28">
        <f>ROUNDUP(E30*L30/S30,0)</f>
        <v>6</v>
      </c>
      <c r="K30" s="28"/>
      <c r="L30" s="28">
        <v>100</v>
      </c>
      <c r="M30" s="28"/>
      <c r="N30" s="166">
        <f t="shared" ref="N30" si="15">ROUNDUP(E30*L30/S30,0)*T30+ROUNDUP(E30*M30/U30,0)*V30</f>
        <v>2400</v>
      </c>
      <c r="O30" s="163">
        <v>100</v>
      </c>
      <c r="P30" s="179">
        <f t="shared" si="13"/>
        <v>1500</v>
      </c>
      <c r="Q30" s="180">
        <f t="shared" ref="Q30:Q32" si="16">(K30+(N30+P30))*$R$12</f>
        <v>4680</v>
      </c>
      <c r="R30" s="163"/>
      <c r="S30" s="157">
        <v>290</v>
      </c>
      <c r="T30" s="157">
        <v>400</v>
      </c>
      <c r="U30" s="157">
        <v>1</v>
      </c>
      <c r="V30" s="157"/>
    </row>
    <row r="31" spans="1:22" s="139" customFormat="1" ht="60" customHeight="1" x14ac:dyDescent="0.3">
      <c r="A31" s="28">
        <f t="shared" si="14"/>
        <v>3</v>
      </c>
      <c r="B31" s="220" t="s">
        <v>671</v>
      </c>
      <c r="C31" s="221"/>
      <c r="D31" s="28" t="s">
        <v>13</v>
      </c>
      <c r="E31" s="37">
        <v>1</v>
      </c>
      <c r="F31" s="94">
        <v>1000</v>
      </c>
      <c r="G31" s="42">
        <f t="shared" si="12"/>
        <v>1000</v>
      </c>
      <c r="H31" s="28"/>
      <c r="I31" s="7"/>
      <c r="J31" s="28"/>
      <c r="K31" s="28"/>
      <c r="L31" s="28">
        <v>1</v>
      </c>
      <c r="M31" s="28"/>
      <c r="N31" s="166">
        <v>500</v>
      </c>
      <c r="O31" s="163">
        <v>200</v>
      </c>
      <c r="P31" s="179">
        <f t="shared" si="13"/>
        <v>200</v>
      </c>
      <c r="Q31" s="180">
        <f t="shared" si="16"/>
        <v>840</v>
      </c>
      <c r="R31" s="163"/>
      <c r="S31" s="164">
        <v>1</v>
      </c>
      <c r="T31" s="157">
        <v>1000</v>
      </c>
      <c r="U31" s="157">
        <v>1</v>
      </c>
      <c r="V31" s="157"/>
    </row>
    <row r="32" spans="1:22" s="139" customFormat="1" ht="60" customHeight="1" x14ac:dyDescent="0.3">
      <c r="A32" s="28">
        <f t="shared" si="14"/>
        <v>4</v>
      </c>
      <c r="B32" s="231" t="s">
        <v>696</v>
      </c>
      <c r="C32" s="232"/>
      <c r="D32" s="28" t="s">
        <v>252</v>
      </c>
      <c r="E32" s="37">
        <f>(1.7+2)*2*2-2*0.8</f>
        <v>13.200000000000001</v>
      </c>
      <c r="F32" s="94">
        <v>2500</v>
      </c>
      <c r="G32" s="42">
        <f t="shared" si="12"/>
        <v>33000</v>
      </c>
      <c r="H32" s="28" t="s">
        <v>689</v>
      </c>
      <c r="I32" s="7"/>
      <c r="J32" s="28">
        <f>ROUND(E32*L32/S32,1)</f>
        <v>1</v>
      </c>
      <c r="K32" s="28"/>
      <c r="L32" s="28">
        <v>2.5</v>
      </c>
      <c r="M32" s="28">
        <v>1</v>
      </c>
      <c r="N32" s="166">
        <f>ROUND(E32*L32/S32,1)*T32+ROUND(E32*M32/U32,1)*V32</f>
        <v>7800</v>
      </c>
      <c r="O32" s="163">
        <v>1500</v>
      </c>
      <c r="P32" s="179">
        <f t="shared" si="13"/>
        <v>19800</v>
      </c>
      <c r="Q32" s="180">
        <f t="shared" si="16"/>
        <v>33120</v>
      </c>
      <c r="R32" s="163"/>
      <c r="S32" s="160">
        <v>34</v>
      </c>
      <c r="T32" s="160">
        <v>6000</v>
      </c>
      <c r="U32" s="157">
        <v>50</v>
      </c>
      <c r="V32" s="160">
        <v>6000</v>
      </c>
    </row>
    <row r="33" spans="1:22" s="139" customFormat="1" ht="60" customHeight="1" x14ac:dyDescent="0.3">
      <c r="A33" s="28">
        <f t="shared" si="14"/>
        <v>5</v>
      </c>
      <c r="B33" s="231" t="s">
        <v>690</v>
      </c>
      <c r="C33" s="232"/>
      <c r="D33" s="28" t="s">
        <v>252</v>
      </c>
      <c r="E33" s="37">
        <f>1.7*2</f>
        <v>3.4</v>
      </c>
      <c r="F33" s="94">
        <v>4500</v>
      </c>
      <c r="G33" s="42">
        <f t="shared" ref="G33" si="17">E33*F33</f>
        <v>15300</v>
      </c>
      <c r="H33" s="28" t="s">
        <v>689</v>
      </c>
      <c r="I33" s="7"/>
      <c r="J33" s="28">
        <f>ROUND(E33*L33/S33,1)</f>
        <v>0.5</v>
      </c>
      <c r="K33" s="28"/>
      <c r="L33" s="28">
        <v>5</v>
      </c>
      <c r="M33" s="28">
        <v>1</v>
      </c>
      <c r="N33" s="166">
        <f>ROUND(E33*L33/S33,1)*T33+ROUND(E33*M33/U33,1)*V33</f>
        <v>3600</v>
      </c>
      <c r="O33" s="163">
        <v>2500</v>
      </c>
      <c r="P33" s="179">
        <f t="shared" ref="P33" si="18">E33*O33</f>
        <v>8500</v>
      </c>
      <c r="Q33" s="180">
        <f t="shared" ref="Q33" si="19">(K33+(N33+P33))*$R$12</f>
        <v>14520</v>
      </c>
      <c r="R33" s="163"/>
      <c r="S33" s="160">
        <v>34</v>
      </c>
      <c r="T33" s="157">
        <v>6000</v>
      </c>
      <c r="U33" s="157">
        <v>50</v>
      </c>
      <c r="V33" s="160">
        <v>6000</v>
      </c>
    </row>
    <row r="34" spans="1:22" s="145" customFormat="1" x14ac:dyDescent="0.3">
      <c r="A34" s="28"/>
      <c r="B34" s="215" t="s">
        <v>481</v>
      </c>
      <c r="C34" s="216"/>
      <c r="D34" s="28"/>
      <c r="E34" s="37"/>
      <c r="F34" s="94"/>
      <c r="G34" s="156">
        <f>SUM(G29:G33)</f>
        <v>58199</v>
      </c>
      <c r="H34" s="28"/>
      <c r="I34" s="7"/>
      <c r="J34" s="170"/>
      <c r="K34" s="170"/>
      <c r="L34" s="170"/>
      <c r="M34" s="170"/>
      <c r="N34" s="171"/>
      <c r="O34" s="171"/>
      <c r="P34" s="171"/>
      <c r="Q34" s="182"/>
      <c r="R34" s="171"/>
      <c r="S34" s="172"/>
      <c r="T34" s="172"/>
      <c r="U34" s="172"/>
      <c r="V34" s="172"/>
    </row>
    <row r="35" spans="1:22" x14ac:dyDescent="0.3">
      <c r="A35" s="28" t="s">
        <v>627</v>
      </c>
      <c r="B35" s="217" t="s">
        <v>695</v>
      </c>
      <c r="C35" s="218"/>
      <c r="D35" s="218"/>
      <c r="E35" s="218"/>
      <c r="F35" s="218"/>
      <c r="G35" s="218"/>
      <c r="H35" s="219"/>
      <c r="I35" s="7"/>
      <c r="J35" s="157"/>
      <c r="K35" s="157"/>
      <c r="L35" s="187"/>
      <c r="M35" s="187"/>
      <c r="N35" s="162"/>
      <c r="O35" s="186"/>
      <c r="P35" s="162"/>
      <c r="Q35" s="180"/>
      <c r="R35" s="161"/>
      <c r="S35" s="157"/>
      <c r="T35" s="157"/>
      <c r="U35" s="157"/>
      <c r="V35" s="157"/>
    </row>
    <row r="36" spans="1:22" s="139" customFormat="1" ht="60" customHeight="1" x14ac:dyDescent="0.3">
      <c r="A36" s="28">
        <f>ROW()-35</f>
        <v>1</v>
      </c>
      <c r="B36" s="220" t="s">
        <v>682</v>
      </c>
      <c r="C36" s="221"/>
      <c r="D36" s="28" t="s">
        <v>252</v>
      </c>
      <c r="E36" s="37">
        <v>100</v>
      </c>
      <c r="F36" s="94">
        <v>140</v>
      </c>
      <c r="G36" s="42">
        <f t="shared" ref="G36" si="20">E36*F36</f>
        <v>14000</v>
      </c>
      <c r="H36" s="28" t="s">
        <v>673</v>
      </c>
      <c r="I36" s="7"/>
      <c r="J36" s="173">
        <f>E36*L36/S36</f>
        <v>2.1164021164021167</v>
      </c>
      <c r="K36" s="28"/>
      <c r="L36" s="157">
        <v>0.4</v>
      </c>
      <c r="M36" s="157"/>
      <c r="N36" s="166">
        <f>E36*L36/S36*T36</f>
        <v>4232.8042328042338</v>
      </c>
      <c r="O36" s="163">
        <v>70</v>
      </c>
      <c r="P36" s="179">
        <f t="shared" ref="P36" si="21">E36*O36</f>
        <v>7000</v>
      </c>
      <c r="Q36" s="180">
        <f>(K36+N36+P36)*($R$12)</f>
        <v>13479.36507936508</v>
      </c>
      <c r="R36" s="157"/>
      <c r="S36" s="157">
        <v>18.899999999999999</v>
      </c>
      <c r="T36" s="157">
        <v>2000</v>
      </c>
      <c r="U36" s="157">
        <v>1</v>
      </c>
      <c r="V36" s="157"/>
    </row>
    <row r="37" spans="1:22" s="139" customFormat="1" ht="60" customHeight="1" x14ac:dyDescent="0.3">
      <c r="A37" s="28">
        <f t="shared" ref="A37" si="22">ROW()-35</f>
        <v>2</v>
      </c>
      <c r="B37" s="231" t="s">
        <v>718</v>
      </c>
      <c r="C37" s="232"/>
      <c r="D37" s="28" t="s">
        <v>252</v>
      </c>
      <c r="E37" s="37">
        <v>100</v>
      </c>
      <c r="F37" s="94">
        <v>270</v>
      </c>
      <c r="G37" s="42">
        <f>E37*F37</f>
        <v>27000</v>
      </c>
      <c r="H37" s="28" t="s">
        <v>673</v>
      </c>
      <c r="I37" s="7"/>
      <c r="J37" s="28">
        <f>ROUND(E37*L37/S37,1)</f>
        <v>6.7</v>
      </c>
      <c r="K37" s="28"/>
      <c r="L37" s="28">
        <v>1.2</v>
      </c>
      <c r="M37" s="28"/>
      <c r="N37" s="166">
        <f>ROUND(E37*L37/S37,1)*T37+ROUND(E37*M37/U37,1)*V37</f>
        <v>10050</v>
      </c>
      <c r="O37" s="163">
        <v>120</v>
      </c>
      <c r="P37" s="179">
        <f>E37*O37</f>
        <v>12000</v>
      </c>
      <c r="Q37" s="180">
        <f>(K37+(N37+P37))*$R$12</f>
        <v>26460</v>
      </c>
      <c r="R37" s="163"/>
      <c r="S37" s="157">
        <v>18</v>
      </c>
      <c r="T37" s="157">
        <v>1500</v>
      </c>
      <c r="U37" s="157">
        <v>1</v>
      </c>
      <c r="V37" s="160"/>
    </row>
    <row r="38" spans="1:22" s="145" customFormat="1" x14ac:dyDescent="0.3">
      <c r="A38" s="28"/>
      <c r="B38" s="215" t="s">
        <v>481</v>
      </c>
      <c r="C38" s="216"/>
      <c r="D38" s="28"/>
      <c r="E38" s="37"/>
      <c r="F38" s="94"/>
      <c r="G38" s="156">
        <f>SUM(G36:G37)</f>
        <v>41000</v>
      </c>
      <c r="H38" s="28"/>
      <c r="I38" s="7"/>
      <c r="J38" s="170"/>
      <c r="K38" s="170"/>
      <c r="L38" s="170"/>
      <c r="M38" s="170"/>
      <c r="N38" s="171"/>
      <c r="O38" s="171"/>
      <c r="P38" s="171"/>
      <c r="Q38" s="182"/>
      <c r="R38" s="171"/>
      <c r="S38" s="172"/>
      <c r="T38" s="172"/>
      <c r="U38" s="172"/>
      <c r="V38" s="172"/>
    </row>
    <row r="39" spans="1:22" x14ac:dyDescent="0.3">
      <c r="A39" s="28" t="s">
        <v>77</v>
      </c>
      <c r="B39" s="217" t="s">
        <v>703</v>
      </c>
      <c r="C39" s="218"/>
      <c r="D39" s="218"/>
      <c r="E39" s="218"/>
      <c r="F39" s="218"/>
      <c r="G39" s="218"/>
      <c r="H39" s="219"/>
      <c r="I39" s="7"/>
      <c r="J39" s="157"/>
      <c r="K39" s="157"/>
      <c r="L39" s="187"/>
      <c r="M39" s="187"/>
      <c r="N39" s="162"/>
      <c r="O39" s="186"/>
      <c r="P39" s="162"/>
      <c r="Q39" s="180"/>
      <c r="R39" s="161"/>
      <c r="S39" s="157"/>
      <c r="T39" s="157"/>
      <c r="U39" s="157"/>
      <c r="V39" s="157"/>
    </row>
    <row r="40" spans="1:22" x14ac:dyDescent="0.3">
      <c r="A40" s="28" t="s">
        <v>624</v>
      </c>
      <c r="B40" s="217" t="s">
        <v>722</v>
      </c>
      <c r="C40" s="218"/>
      <c r="D40" s="218"/>
      <c r="E40" s="218"/>
      <c r="F40" s="218"/>
      <c r="G40" s="218"/>
      <c r="H40" s="219"/>
      <c r="I40" s="7"/>
      <c r="J40" s="157"/>
      <c r="K40" s="157"/>
      <c r="L40" s="187"/>
      <c r="M40" s="187"/>
      <c r="N40" s="162"/>
      <c r="O40" s="186"/>
      <c r="P40" s="162"/>
      <c r="Q40" s="180"/>
      <c r="R40" s="161"/>
      <c r="S40" s="157"/>
      <c r="T40" s="157"/>
      <c r="U40" s="157"/>
      <c r="V40" s="157"/>
    </row>
    <row r="41" spans="1:22" s="139" customFormat="1" ht="60" customHeight="1" x14ac:dyDescent="0.3">
      <c r="A41" s="28">
        <f>ROW()-41</f>
        <v>0</v>
      </c>
      <c r="B41" s="220" t="s">
        <v>705</v>
      </c>
      <c r="C41" s="221"/>
      <c r="D41" s="28" t="s">
        <v>8</v>
      </c>
      <c r="E41" s="37">
        <v>1</v>
      </c>
      <c r="F41" s="94">
        <v>25000</v>
      </c>
      <c r="G41" s="42">
        <f t="shared" ref="G41:G50" si="23">E41*F41</f>
        <v>25000</v>
      </c>
      <c r="H41" s="28" t="s">
        <v>566</v>
      </c>
      <c r="I41" s="7"/>
      <c r="J41" s="214">
        <f t="shared" ref="J41:J50" si="24">E41*L41/S41</f>
        <v>1.4499999999999999E-2</v>
      </c>
      <c r="K41" s="28"/>
      <c r="L41" s="28">
        <v>0.14499999999999999</v>
      </c>
      <c r="M41" s="28"/>
      <c r="N41" s="166">
        <f t="shared" ref="N41:N50" si="25">ROUNDUP(E41*L41/S41,0)*T41+ROUNDUP(E41*M41/U41,0)*V41</f>
        <v>4500</v>
      </c>
      <c r="O41" s="163"/>
      <c r="P41" s="179">
        <f t="shared" ref="P41:P50" si="26">E41*O41</f>
        <v>0</v>
      </c>
      <c r="Q41" s="209">
        <f t="shared" ref="Q41" si="27">(K41+N41+P41)*($R$12)</f>
        <v>5400</v>
      </c>
      <c r="R41" s="163"/>
      <c r="S41" s="160">
        <v>10</v>
      </c>
      <c r="T41" s="160">
        <f>450*10</f>
        <v>4500</v>
      </c>
      <c r="U41" s="160">
        <v>1</v>
      </c>
      <c r="V41" s="160"/>
    </row>
    <row r="42" spans="1:22" s="139" customFormat="1" ht="60" customHeight="1" x14ac:dyDescent="0.3">
      <c r="A42" s="28">
        <f t="shared" ref="A42:A44" si="28">ROW()-41</f>
        <v>1</v>
      </c>
      <c r="B42" s="220" t="s">
        <v>709</v>
      </c>
      <c r="C42" s="221"/>
      <c r="D42" s="28" t="s">
        <v>8</v>
      </c>
      <c r="E42" s="37">
        <v>1</v>
      </c>
      <c r="F42" s="94">
        <v>30000</v>
      </c>
      <c r="G42" s="42">
        <f t="shared" ref="G42:G44" si="29">E42*F42</f>
        <v>30000</v>
      </c>
      <c r="H42" s="28" t="s">
        <v>566</v>
      </c>
      <c r="I42" s="7"/>
      <c r="J42" s="214">
        <f t="shared" ref="J42:J44" si="30">E42*L42/S42</f>
        <v>0.12250000000000001</v>
      </c>
      <c r="K42" s="28"/>
      <c r="L42" s="28">
        <f>0.05*49</f>
        <v>2.4500000000000002</v>
      </c>
      <c r="M42" s="28"/>
      <c r="N42" s="166">
        <f t="shared" ref="N42:N44" si="31">ROUNDUP(E42*L42/S42,0)*T42+ROUNDUP(E42*M42/U42,0)*V42</f>
        <v>9000</v>
      </c>
      <c r="O42" s="163">
        <v>600</v>
      </c>
      <c r="P42" s="179">
        <f t="shared" ref="P42:P44" si="32">E42*O42</f>
        <v>600</v>
      </c>
      <c r="Q42" s="209">
        <f t="shared" ref="Q42" si="33">(K42+N42+P42)*($R$12)</f>
        <v>11520</v>
      </c>
      <c r="R42" s="163"/>
      <c r="S42" s="160">
        <v>20</v>
      </c>
      <c r="T42" s="160">
        <f>20*450</f>
        <v>9000</v>
      </c>
      <c r="U42" s="157">
        <v>1</v>
      </c>
      <c r="V42" s="160"/>
    </row>
    <row r="43" spans="1:22" s="139" customFormat="1" ht="60" customHeight="1" x14ac:dyDescent="0.3">
      <c r="A43" s="28">
        <f t="shared" si="28"/>
        <v>2</v>
      </c>
      <c r="B43" s="220" t="s">
        <v>704</v>
      </c>
      <c r="C43" s="221"/>
      <c r="D43" s="28" t="s">
        <v>8</v>
      </c>
      <c r="E43" s="37">
        <v>1</v>
      </c>
      <c r="F43" s="94">
        <v>10000</v>
      </c>
      <c r="G43" s="42">
        <f t="shared" si="29"/>
        <v>10000</v>
      </c>
      <c r="H43" s="28" t="s">
        <v>566</v>
      </c>
      <c r="I43" s="7"/>
      <c r="J43" s="214" t="e">
        <f t="shared" si="30"/>
        <v>#DIV/0!</v>
      </c>
      <c r="K43" s="28"/>
      <c r="L43" s="28"/>
      <c r="M43" s="28"/>
      <c r="N43" s="166" t="e">
        <f t="shared" si="31"/>
        <v>#DIV/0!</v>
      </c>
      <c r="O43" s="163"/>
      <c r="P43" s="179">
        <f t="shared" si="32"/>
        <v>0</v>
      </c>
      <c r="Q43" s="209"/>
      <c r="R43" s="163"/>
      <c r="S43" s="157"/>
      <c r="T43" s="157"/>
      <c r="U43" s="157"/>
      <c r="V43" s="157"/>
    </row>
    <row r="44" spans="1:22" s="139" customFormat="1" ht="60" customHeight="1" x14ac:dyDescent="0.3">
      <c r="A44" s="28">
        <f t="shared" si="28"/>
        <v>3</v>
      </c>
      <c r="B44" s="220" t="s">
        <v>706</v>
      </c>
      <c r="C44" s="221"/>
      <c r="D44" s="28" t="s">
        <v>8</v>
      </c>
      <c r="E44" s="37">
        <v>1</v>
      </c>
      <c r="F44" s="94">
        <v>10000</v>
      </c>
      <c r="G44" s="42">
        <f t="shared" si="29"/>
        <v>10000</v>
      </c>
      <c r="H44" s="28"/>
      <c r="I44" s="7"/>
      <c r="J44" s="214">
        <f t="shared" si="30"/>
        <v>0.08</v>
      </c>
      <c r="K44" s="28"/>
      <c r="L44" s="28">
        <v>2</v>
      </c>
      <c r="M44" s="28"/>
      <c r="N44" s="166">
        <f t="shared" si="31"/>
        <v>2700</v>
      </c>
      <c r="O44" s="163"/>
      <c r="P44" s="179">
        <f t="shared" si="32"/>
        <v>0</v>
      </c>
      <c r="Q44" s="209"/>
      <c r="R44" s="163"/>
      <c r="S44" s="168">
        <v>25</v>
      </c>
      <c r="T44" s="157">
        <v>2700</v>
      </c>
      <c r="U44" s="168">
        <v>25</v>
      </c>
      <c r="V44" s="157"/>
    </row>
    <row r="45" spans="1:22" s="145" customFormat="1" x14ac:dyDescent="0.3">
      <c r="A45" s="28"/>
      <c r="B45" s="215" t="s">
        <v>481</v>
      </c>
      <c r="C45" s="216"/>
      <c r="D45" s="28"/>
      <c r="E45" s="37"/>
      <c r="F45" s="94"/>
      <c r="G45" s="156">
        <f>SUM(G41:G44)</f>
        <v>75000</v>
      </c>
      <c r="H45" s="28"/>
      <c r="I45" s="7"/>
      <c r="J45" s="170"/>
      <c r="K45" s="170"/>
      <c r="L45" s="170"/>
      <c r="M45" s="170"/>
      <c r="N45" s="171"/>
      <c r="O45" s="171"/>
      <c r="P45" s="171"/>
      <c r="Q45" s="182"/>
      <c r="R45" s="171"/>
      <c r="S45" s="172"/>
      <c r="T45" s="172"/>
      <c r="U45" s="172"/>
      <c r="V45" s="172"/>
    </row>
    <row r="46" spans="1:22" x14ac:dyDescent="0.3">
      <c r="A46" s="28" t="s">
        <v>625</v>
      </c>
      <c r="B46" s="217" t="s">
        <v>721</v>
      </c>
      <c r="C46" s="218"/>
      <c r="D46" s="218"/>
      <c r="E46" s="218"/>
      <c r="F46" s="218"/>
      <c r="G46" s="218"/>
      <c r="H46" s="219"/>
      <c r="I46" s="7"/>
      <c r="J46" s="157"/>
      <c r="K46" s="157"/>
      <c r="L46" s="187"/>
      <c r="M46" s="187"/>
      <c r="N46" s="162"/>
      <c r="O46" s="186"/>
      <c r="P46" s="162"/>
      <c r="Q46" s="180"/>
      <c r="R46" s="161"/>
      <c r="S46" s="157"/>
      <c r="T46" s="157"/>
      <c r="U46" s="157"/>
      <c r="V46" s="157"/>
    </row>
    <row r="47" spans="1:22" s="139" customFormat="1" ht="60" customHeight="1" x14ac:dyDescent="0.3">
      <c r="A47" s="28">
        <f>ROW()-47</f>
        <v>0</v>
      </c>
      <c r="B47" s="220" t="s">
        <v>676</v>
      </c>
      <c r="C47" s="221"/>
      <c r="D47" s="28" t="s">
        <v>3</v>
      </c>
      <c r="E47" s="37">
        <v>13</v>
      </c>
      <c r="F47" s="94">
        <v>2000</v>
      </c>
      <c r="G47" s="42">
        <f t="shared" ref="G47:G48" si="34">E47*F47</f>
        <v>26000</v>
      </c>
      <c r="H47" s="28" t="s">
        <v>566</v>
      </c>
      <c r="I47" s="7"/>
      <c r="J47" s="214">
        <f t="shared" ref="J47:J48" si="35">E47*L47/S47</f>
        <v>0.18849999999999997</v>
      </c>
      <c r="K47" s="28"/>
      <c r="L47" s="28">
        <v>0.14499999999999999</v>
      </c>
      <c r="M47" s="28"/>
      <c r="N47" s="166">
        <f t="shared" ref="N47:N48" si="36">ROUNDUP(E47*L47/S47,0)*T47+ROUNDUP(E47*M47/U47,0)*V47</f>
        <v>4500</v>
      </c>
      <c r="O47" s="163"/>
      <c r="P47" s="179">
        <f t="shared" ref="P47:P48" si="37">E47*O47</f>
        <v>0</v>
      </c>
      <c r="Q47" s="209">
        <f t="shared" ref="Q47:Q48" si="38">(K47+N47+P47)*($R$12)</f>
        <v>5400</v>
      </c>
      <c r="R47" s="163"/>
      <c r="S47" s="160">
        <v>10</v>
      </c>
      <c r="T47" s="160">
        <f>450*10</f>
        <v>4500</v>
      </c>
      <c r="U47" s="160">
        <v>1</v>
      </c>
      <c r="V47" s="160"/>
    </row>
    <row r="48" spans="1:22" s="139" customFormat="1" ht="60" customHeight="1" x14ac:dyDescent="0.3">
      <c r="A48" s="28">
        <f t="shared" ref="A48:A50" si="39">ROW()-47</f>
        <v>1</v>
      </c>
      <c r="B48" s="220" t="s">
        <v>710</v>
      </c>
      <c r="C48" s="221"/>
      <c r="D48" s="32" t="s">
        <v>252</v>
      </c>
      <c r="E48" s="37">
        <v>30</v>
      </c>
      <c r="F48" s="94">
        <v>3000</v>
      </c>
      <c r="G48" s="42">
        <f t="shared" si="34"/>
        <v>90000</v>
      </c>
      <c r="H48" s="28" t="s">
        <v>566</v>
      </c>
      <c r="I48" s="7"/>
      <c r="J48" s="214">
        <f t="shared" si="35"/>
        <v>3.6749999999999998</v>
      </c>
      <c r="K48" s="28"/>
      <c r="L48" s="28">
        <f>0.05*49</f>
        <v>2.4500000000000002</v>
      </c>
      <c r="M48" s="28"/>
      <c r="N48" s="166">
        <f t="shared" si="36"/>
        <v>36000</v>
      </c>
      <c r="O48" s="163">
        <v>600</v>
      </c>
      <c r="P48" s="179">
        <f t="shared" si="37"/>
        <v>18000</v>
      </c>
      <c r="Q48" s="209">
        <f t="shared" si="38"/>
        <v>64800</v>
      </c>
      <c r="R48" s="163"/>
      <c r="S48" s="160">
        <v>20</v>
      </c>
      <c r="T48" s="160">
        <f>20*450</f>
        <v>9000</v>
      </c>
      <c r="U48" s="157">
        <v>1</v>
      </c>
      <c r="V48" s="160"/>
    </row>
    <row r="49" spans="1:22" s="139" customFormat="1" ht="60" customHeight="1" x14ac:dyDescent="0.3">
      <c r="A49" s="28">
        <f t="shared" si="39"/>
        <v>2</v>
      </c>
      <c r="B49" s="220" t="s">
        <v>700</v>
      </c>
      <c r="C49" s="221"/>
      <c r="D49" s="32" t="s">
        <v>252</v>
      </c>
      <c r="E49" s="37">
        <v>10</v>
      </c>
      <c r="F49" s="94">
        <v>1000</v>
      </c>
      <c r="G49" s="42">
        <f t="shared" si="23"/>
        <v>10000</v>
      </c>
      <c r="H49" s="28" t="s">
        <v>566</v>
      </c>
      <c r="I49" s="7"/>
      <c r="J49" s="214" t="e">
        <f t="shared" si="24"/>
        <v>#DIV/0!</v>
      </c>
      <c r="K49" s="28"/>
      <c r="L49" s="28"/>
      <c r="M49" s="28"/>
      <c r="N49" s="166" t="e">
        <f t="shared" si="25"/>
        <v>#DIV/0!</v>
      </c>
      <c r="O49" s="163"/>
      <c r="P49" s="179">
        <f t="shared" si="26"/>
        <v>0</v>
      </c>
      <c r="Q49" s="209"/>
      <c r="R49" s="163"/>
      <c r="S49" s="157"/>
      <c r="T49" s="157"/>
      <c r="U49" s="157"/>
      <c r="V49" s="157"/>
    </row>
    <row r="50" spans="1:22" s="139" customFormat="1" ht="60" customHeight="1" x14ac:dyDescent="0.3">
      <c r="A50" s="28">
        <f t="shared" si="39"/>
        <v>3</v>
      </c>
      <c r="B50" s="220" t="s">
        <v>423</v>
      </c>
      <c r="C50" s="221"/>
      <c r="D50" s="32" t="s">
        <v>252</v>
      </c>
      <c r="E50" s="37">
        <v>10</v>
      </c>
      <c r="F50" s="94">
        <v>1000</v>
      </c>
      <c r="G50" s="42">
        <f t="shared" si="23"/>
        <v>10000</v>
      </c>
      <c r="H50" s="28"/>
      <c r="I50" s="7"/>
      <c r="J50" s="214">
        <f t="shared" si="24"/>
        <v>0.8</v>
      </c>
      <c r="K50" s="28"/>
      <c r="L50" s="28">
        <v>2</v>
      </c>
      <c r="M50" s="28"/>
      <c r="N50" s="166">
        <f t="shared" si="25"/>
        <v>2700</v>
      </c>
      <c r="O50" s="163"/>
      <c r="P50" s="179">
        <f t="shared" si="26"/>
        <v>0</v>
      </c>
      <c r="Q50" s="209"/>
      <c r="R50" s="163"/>
      <c r="S50" s="168">
        <v>25</v>
      </c>
      <c r="T50" s="157">
        <v>2700</v>
      </c>
      <c r="U50" s="168">
        <v>25</v>
      </c>
      <c r="V50" s="157"/>
    </row>
    <row r="51" spans="1:22" s="145" customFormat="1" x14ac:dyDescent="0.3">
      <c r="A51" s="28"/>
      <c r="B51" s="215" t="s">
        <v>481</v>
      </c>
      <c r="C51" s="216"/>
      <c r="D51" s="28"/>
      <c r="E51" s="37"/>
      <c r="F51" s="94"/>
      <c r="G51" s="156">
        <f>SUM(G47:G50)</f>
        <v>136000</v>
      </c>
      <c r="H51" s="28"/>
      <c r="I51" s="7"/>
      <c r="J51" s="170"/>
      <c r="K51" s="170"/>
      <c r="L51" s="170"/>
      <c r="M51" s="170"/>
      <c r="N51" s="171"/>
      <c r="O51" s="171"/>
      <c r="P51" s="171"/>
      <c r="Q51" s="182"/>
      <c r="R51" s="171"/>
      <c r="S51" s="172"/>
      <c r="T51" s="172"/>
      <c r="U51" s="172"/>
      <c r="V51" s="172"/>
    </row>
    <row r="52" spans="1:22" x14ac:dyDescent="0.3">
      <c r="A52" s="28" t="s">
        <v>626</v>
      </c>
      <c r="B52" s="217" t="s">
        <v>720</v>
      </c>
      <c r="C52" s="218"/>
      <c r="D52" s="218"/>
      <c r="E52" s="218"/>
      <c r="F52" s="218"/>
      <c r="G52" s="218"/>
      <c r="H52" s="219"/>
      <c r="I52" s="7"/>
      <c r="J52" s="157"/>
      <c r="K52" s="157"/>
      <c r="L52" s="187"/>
      <c r="M52" s="187"/>
      <c r="N52" s="162"/>
      <c r="O52" s="186"/>
      <c r="P52" s="162"/>
      <c r="Q52" s="180"/>
      <c r="R52" s="161"/>
      <c r="S52" s="157"/>
      <c r="T52" s="157"/>
      <c r="U52" s="157"/>
      <c r="V52" s="157"/>
    </row>
    <row r="53" spans="1:22" s="139" customFormat="1" ht="60" customHeight="1" x14ac:dyDescent="0.3">
      <c r="A53" s="28">
        <f>ROW()-53</f>
        <v>0</v>
      </c>
      <c r="B53" s="220" t="s">
        <v>707</v>
      </c>
      <c r="C53" s="221"/>
      <c r="D53" s="28" t="s">
        <v>8</v>
      </c>
      <c r="E53" s="37">
        <v>1</v>
      </c>
      <c r="F53" s="94">
        <v>50000</v>
      </c>
      <c r="G53" s="42">
        <f>E53*F53</f>
        <v>50000</v>
      </c>
      <c r="H53" s="28" t="s">
        <v>566</v>
      </c>
      <c r="I53" s="7"/>
      <c r="J53" s="214">
        <f>E53*L53/S53</f>
        <v>0.12250000000000001</v>
      </c>
      <c r="K53" s="28"/>
      <c r="L53" s="28">
        <f>0.05*49</f>
        <v>2.4500000000000002</v>
      </c>
      <c r="M53" s="28">
        <v>0.5</v>
      </c>
      <c r="N53" s="166">
        <f>ROUNDUP(E53*L53/S53,0)*T53+ROUNDUP(E53*M53/U53,0)*V53</f>
        <v>15900</v>
      </c>
      <c r="O53" s="163">
        <v>1000</v>
      </c>
      <c r="P53" s="179">
        <f>E53*O53</f>
        <v>1000</v>
      </c>
      <c r="Q53" s="209">
        <f t="shared" ref="Q53" si="40">(K53+N53+P53)*($R$12)</f>
        <v>20280</v>
      </c>
      <c r="R53" s="163"/>
      <c r="S53" s="160">
        <v>20</v>
      </c>
      <c r="T53" s="160">
        <f>315*S53</f>
        <v>6300</v>
      </c>
      <c r="U53" s="160">
        <v>20</v>
      </c>
      <c r="V53" s="160">
        <f>480*U53</f>
        <v>9600</v>
      </c>
    </row>
    <row r="54" spans="1:22" s="139" customFormat="1" ht="60" customHeight="1" x14ac:dyDescent="0.3">
      <c r="A54" s="28">
        <f t="shared" ref="A54:A55" si="41">ROW()-53</f>
        <v>1</v>
      </c>
      <c r="B54" s="220" t="s">
        <v>704</v>
      </c>
      <c r="C54" s="221"/>
      <c r="D54" s="28" t="s">
        <v>8</v>
      </c>
      <c r="E54" s="37">
        <v>1</v>
      </c>
      <c r="F54" s="94">
        <v>10000</v>
      </c>
      <c r="G54" s="42">
        <f t="shared" ref="G54:G55" si="42">E54*F54</f>
        <v>10000</v>
      </c>
      <c r="H54" s="28" t="s">
        <v>566</v>
      </c>
      <c r="I54" s="7"/>
      <c r="J54" s="214" t="e">
        <f t="shared" ref="J54:J55" si="43">E54*L54/S54</f>
        <v>#DIV/0!</v>
      </c>
      <c r="K54" s="28"/>
      <c r="L54" s="28"/>
      <c r="M54" s="28"/>
      <c r="N54" s="166" t="e">
        <f t="shared" ref="N54:N55" si="44">ROUNDUP(E54*L54/S54,0)*T54+ROUNDUP(E54*M54/U54,0)*V54</f>
        <v>#DIV/0!</v>
      </c>
      <c r="O54" s="163"/>
      <c r="P54" s="179">
        <f t="shared" ref="P54:P55" si="45">E54*O54</f>
        <v>0</v>
      </c>
      <c r="Q54" s="209"/>
      <c r="R54" s="163"/>
      <c r="S54" s="157"/>
      <c r="T54" s="157"/>
      <c r="U54" s="157"/>
      <c r="V54" s="157"/>
    </row>
    <row r="55" spans="1:22" s="139" customFormat="1" ht="60" customHeight="1" x14ac:dyDescent="0.3">
      <c r="A55" s="28">
        <f t="shared" si="41"/>
        <v>2</v>
      </c>
      <c r="B55" s="220" t="s">
        <v>706</v>
      </c>
      <c r="C55" s="221"/>
      <c r="D55" s="28" t="s">
        <v>8</v>
      </c>
      <c r="E55" s="37">
        <v>1</v>
      </c>
      <c r="F55" s="94">
        <v>10000</v>
      </c>
      <c r="G55" s="42">
        <f t="shared" si="42"/>
        <v>10000</v>
      </c>
      <c r="H55" s="28"/>
      <c r="I55" s="7"/>
      <c r="J55" s="214">
        <f t="shared" si="43"/>
        <v>0.08</v>
      </c>
      <c r="K55" s="28"/>
      <c r="L55" s="28">
        <v>2</v>
      </c>
      <c r="M55" s="28"/>
      <c r="N55" s="166">
        <f t="shared" si="44"/>
        <v>2700</v>
      </c>
      <c r="O55" s="163"/>
      <c r="P55" s="179">
        <f t="shared" si="45"/>
        <v>0</v>
      </c>
      <c r="Q55" s="209"/>
      <c r="R55" s="163"/>
      <c r="S55" s="168">
        <v>25</v>
      </c>
      <c r="T55" s="157">
        <v>2700</v>
      </c>
      <c r="U55" s="168">
        <v>25</v>
      </c>
      <c r="V55" s="157"/>
    </row>
    <row r="56" spans="1:22" s="145" customFormat="1" x14ac:dyDescent="0.3">
      <c r="A56" s="28"/>
      <c r="B56" s="215" t="s">
        <v>481</v>
      </c>
      <c r="C56" s="216"/>
      <c r="D56" s="28"/>
      <c r="E56" s="37"/>
      <c r="F56" s="94"/>
      <c r="G56" s="156">
        <f>SUM(G50:G53)</f>
        <v>196000</v>
      </c>
      <c r="H56" s="28"/>
      <c r="I56" s="7"/>
      <c r="J56" s="170"/>
      <c r="K56" s="170"/>
      <c r="L56" s="170"/>
      <c r="M56" s="170"/>
      <c r="N56" s="171"/>
      <c r="O56" s="171"/>
      <c r="P56" s="171"/>
      <c r="Q56" s="182"/>
      <c r="R56" s="171"/>
      <c r="S56" s="172"/>
      <c r="T56" s="172"/>
      <c r="U56" s="172"/>
      <c r="V56" s="172"/>
    </row>
    <row r="57" spans="1:22" x14ac:dyDescent="0.3">
      <c r="A57" s="28" t="s">
        <v>627</v>
      </c>
      <c r="B57" s="217" t="s">
        <v>719</v>
      </c>
      <c r="C57" s="218"/>
      <c r="D57" s="218"/>
      <c r="E57" s="218"/>
      <c r="F57" s="218"/>
      <c r="G57" s="218"/>
      <c r="H57" s="219"/>
      <c r="I57" s="7"/>
      <c r="J57" s="157"/>
      <c r="K57" s="157"/>
      <c r="L57" s="187"/>
      <c r="M57" s="187"/>
      <c r="N57" s="162"/>
      <c r="O57" s="186"/>
      <c r="P57" s="162"/>
      <c r="Q57" s="180"/>
      <c r="R57" s="161"/>
      <c r="S57" s="157"/>
      <c r="T57" s="157"/>
      <c r="U57" s="157"/>
      <c r="V57" s="157"/>
    </row>
    <row r="58" spans="1:22" s="139" customFormat="1" ht="60" customHeight="1" x14ac:dyDescent="0.3">
      <c r="A58" s="28">
        <f>ROW()-58</f>
        <v>0</v>
      </c>
      <c r="B58" s="220" t="s">
        <v>708</v>
      </c>
      <c r="C58" s="221"/>
      <c r="D58" s="32" t="s">
        <v>252</v>
      </c>
      <c r="E58" s="37">
        <v>12</v>
      </c>
      <c r="F58" s="94">
        <v>4200</v>
      </c>
      <c r="G58" s="42">
        <f>E58*F58</f>
        <v>50400</v>
      </c>
      <c r="H58" s="28" t="s">
        <v>566</v>
      </c>
      <c r="I58" s="7"/>
      <c r="J58" s="214">
        <f>E58*L58/S58</f>
        <v>1.4700000000000002</v>
      </c>
      <c r="K58" s="28"/>
      <c r="L58" s="28">
        <f>0.05*49</f>
        <v>2.4500000000000002</v>
      </c>
      <c r="M58" s="28">
        <v>0.5</v>
      </c>
      <c r="N58" s="166">
        <f>ROUNDUP(E58*L58/S58,0)*T58+ROUNDUP(E58*M58/U58,0)*V58</f>
        <v>22200</v>
      </c>
      <c r="O58" s="163">
        <v>1000</v>
      </c>
      <c r="P58" s="179">
        <f>E58*O58</f>
        <v>12000</v>
      </c>
      <c r="Q58" s="209">
        <f t="shared" ref="Q58" si="46">(K58+N58+P58)*($R$12)</f>
        <v>41040</v>
      </c>
      <c r="R58" s="163"/>
      <c r="S58" s="160">
        <v>20</v>
      </c>
      <c r="T58" s="160">
        <f>315*S58</f>
        <v>6300</v>
      </c>
      <c r="U58" s="160">
        <v>20</v>
      </c>
      <c r="V58" s="160">
        <f>480*U58</f>
        <v>9600</v>
      </c>
    </row>
    <row r="59" spans="1:22" s="139" customFormat="1" ht="60" customHeight="1" x14ac:dyDescent="0.3">
      <c r="A59" s="28">
        <f t="shared" ref="A59:A60" si="47">ROW()-58</f>
        <v>1</v>
      </c>
      <c r="B59" s="220" t="s">
        <v>700</v>
      </c>
      <c r="C59" s="221"/>
      <c r="D59" s="32" t="s">
        <v>252</v>
      </c>
      <c r="E59" s="37">
        <v>10</v>
      </c>
      <c r="F59" s="94">
        <v>1000</v>
      </c>
      <c r="G59" s="42">
        <f t="shared" ref="G59:G60" si="48">E59*F59</f>
        <v>10000</v>
      </c>
      <c r="H59" s="28" t="s">
        <v>566</v>
      </c>
      <c r="I59" s="7"/>
      <c r="J59" s="214" t="e">
        <f t="shared" ref="J59:J60" si="49">E59*L59/S59</f>
        <v>#DIV/0!</v>
      </c>
      <c r="K59" s="28"/>
      <c r="L59" s="28"/>
      <c r="M59" s="28"/>
      <c r="N59" s="166" t="e">
        <f t="shared" ref="N59:N60" si="50">ROUNDUP(E59*L59/S59,0)*T59+ROUNDUP(E59*M59/U59,0)*V59</f>
        <v>#DIV/0!</v>
      </c>
      <c r="O59" s="163"/>
      <c r="P59" s="179">
        <f t="shared" ref="P59:P60" si="51">E59*O59</f>
        <v>0</v>
      </c>
      <c r="Q59" s="209"/>
      <c r="R59" s="163"/>
      <c r="S59" s="157"/>
      <c r="T59" s="157"/>
      <c r="U59" s="157"/>
      <c r="V59" s="157"/>
    </row>
    <row r="60" spans="1:22" s="139" customFormat="1" ht="60" customHeight="1" x14ac:dyDescent="0.3">
      <c r="A60" s="28">
        <f t="shared" si="47"/>
        <v>2</v>
      </c>
      <c r="B60" s="220" t="s">
        <v>423</v>
      </c>
      <c r="C60" s="221"/>
      <c r="D60" s="32" t="s">
        <v>252</v>
      </c>
      <c r="E60" s="37">
        <v>10</v>
      </c>
      <c r="F60" s="94">
        <v>1000</v>
      </c>
      <c r="G60" s="42">
        <f t="shared" si="48"/>
        <v>10000</v>
      </c>
      <c r="H60" s="28"/>
      <c r="I60" s="7"/>
      <c r="J60" s="214">
        <f t="shared" si="49"/>
        <v>0.8</v>
      </c>
      <c r="K60" s="28"/>
      <c r="L60" s="28">
        <v>2</v>
      </c>
      <c r="M60" s="28"/>
      <c r="N60" s="166">
        <f t="shared" si="50"/>
        <v>2700</v>
      </c>
      <c r="O60" s="163"/>
      <c r="P60" s="179">
        <f t="shared" si="51"/>
        <v>0</v>
      </c>
      <c r="Q60" s="209"/>
      <c r="R60" s="163"/>
      <c r="S60" s="168">
        <v>25</v>
      </c>
      <c r="T60" s="157">
        <v>2700</v>
      </c>
      <c r="U60" s="168">
        <v>25</v>
      </c>
      <c r="V60" s="157"/>
    </row>
    <row r="61" spans="1:22" s="145" customFormat="1" x14ac:dyDescent="0.3">
      <c r="A61" s="28"/>
      <c r="B61" s="215" t="s">
        <v>481</v>
      </c>
      <c r="C61" s="216"/>
      <c r="D61" s="28"/>
      <c r="E61" s="37"/>
      <c r="F61" s="94"/>
      <c r="G61" s="156">
        <f>SUM(G55:G58)</f>
        <v>256400</v>
      </c>
      <c r="H61" s="28"/>
      <c r="I61" s="7"/>
      <c r="J61" s="170"/>
      <c r="K61" s="170"/>
      <c r="L61" s="170"/>
      <c r="M61" s="170"/>
      <c r="N61" s="171"/>
      <c r="O61" s="171"/>
      <c r="P61" s="171"/>
      <c r="Q61" s="182"/>
      <c r="R61" s="171"/>
      <c r="S61" s="172"/>
      <c r="T61" s="172"/>
      <c r="U61" s="172"/>
      <c r="V61" s="172"/>
    </row>
    <row r="62" spans="1:22" x14ac:dyDescent="0.3">
      <c r="A62" s="28" t="s">
        <v>711</v>
      </c>
      <c r="B62" s="217" t="s">
        <v>712</v>
      </c>
      <c r="C62" s="218"/>
      <c r="D62" s="218"/>
      <c r="E62" s="218"/>
      <c r="F62" s="218"/>
      <c r="G62" s="218"/>
      <c r="H62" s="219"/>
      <c r="I62" s="7"/>
      <c r="J62" s="157"/>
      <c r="K62" s="157"/>
      <c r="L62" s="187"/>
      <c r="M62" s="187"/>
      <c r="N62" s="162"/>
      <c r="O62" s="186"/>
      <c r="P62" s="162"/>
      <c r="Q62" s="180"/>
      <c r="R62" s="161"/>
      <c r="S62" s="157"/>
      <c r="T62" s="157"/>
      <c r="U62" s="157"/>
      <c r="V62" s="157"/>
    </row>
    <row r="63" spans="1:22" x14ac:dyDescent="0.3">
      <c r="A63" s="28" t="s">
        <v>624</v>
      </c>
      <c r="B63" s="217" t="s">
        <v>714</v>
      </c>
      <c r="C63" s="218"/>
      <c r="D63" s="218"/>
      <c r="E63" s="218"/>
      <c r="F63" s="218"/>
      <c r="G63" s="218"/>
      <c r="H63" s="219"/>
      <c r="I63" s="7"/>
      <c r="J63" s="157"/>
      <c r="K63" s="157"/>
      <c r="L63" s="187"/>
      <c r="M63" s="187"/>
      <c r="N63" s="162"/>
      <c r="O63" s="186"/>
      <c r="P63" s="162"/>
      <c r="Q63" s="180"/>
      <c r="R63" s="161"/>
      <c r="S63" s="157"/>
      <c r="T63" s="157"/>
      <c r="U63" s="157"/>
      <c r="V63" s="157"/>
    </row>
    <row r="64" spans="1:22" s="139" customFormat="1" ht="60" customHeight="1" x14ac:dyDescent="0.3">
      <c r="A64" s="28">
        <f>ROW()-65</f>
        <v>-1</v>
      </c>
      <c r="B64" s="220" t="s">
        <v>434</v>
      </c>
      <c r="C64" s="221"/>
      <c r="D64" s="28" t="s">
        <v>4</v>
      </c>
      <c r="E64" s="37">
        <v>1</v>
      </c>
      <c r="F64" s="94">
        <v>25000</v>
      </c>
      <c r="G64" s="42">
        <f>E64*F64</f>
        <v>25000</v>
      </c>
      <c r="H64" s="28" t="s">
        <v>566</v>
      </c>
      <c r="I64" s="7"/>
      <c r="J64" s="28"/>
      <c r="K64" s="28">
        <f>0.01*500+20</f>
        <v>25</v>
      </c>
      <c r="L64" s="28"/>
      <c r="M64" s="28"/>
      <c r="N64" s="166">
        <f t="shared" ref="N64:N69" si="52">ROUND(E64*L64/S64,1)*T64+ROUND(E64*M64/U64,1)*V64</f>
        <v>0</v>
      </c>
      <c r="O64" s="163">
        <f>4000*0.02</f>
        <v>80</v>
      </c>
      <c r="P64" s="179">
        <f t="shared" ref="P64:P76" si="53">E64*O64</f>
        <v>80</v>
      </c>
      <c r="Q64" s="180">
        <f t="shared" ref="Q64:Q76" si="54">(K64+(N64+P64))*$R$12</f>
        <v>126</v>
      </c>
      <c r="R64" s="163"/>
      <c r="S64" s="157">
        <v>1</v>
      </c>
      <c r="T64" s="157"/>
      <c r="U64" s="157">
        <v>1</v>
      </c>
      <c r="V64" s="157"/>
    </row>
    <row r="65" spans="1:22" s="139" customFormat="1" ht="60" customHeight="1" x14ac:dyDescent="0.3">
      <c r="A65" s="28">
        <f t="shared" ref="A65:A76" si="55">ROW()-65</f>
        <v>0</v>
      </c>
      <c r="B65" s="220" t="s">
        <v>713</v>
      </c>
      <c r="C65" s="221"/>
      <c r="D65" s="28" t="s">
        <v>7</v>
      </c>
      <c r="E65" s="37">
        <v>10</v>
      </c>
      <c r="F65" s="94">
        <v>2500</v>
      </c>
      <c r="G65" s="42">
        <f>E65*F65</f>
        <v>25000</v>
      </c>
      <c r="H65" s="28" t="s">
        <v>566</v>
      </c>
      <c r="I65" s="7"/>
      <c r="J65" s="214">
        <f t="shared" ref="J65" si="56">E65*L65/S65</f>
        <v>0.16666666666666666</v>
      </c>
      <c r="K65" s="28"/>
      <c r="L65" s="28">
        <v>0.3</v>
      </c>
      <c r="M65" s="28">
        <v>0.3</v>
      </c>
      <c r="N65" s="166">
        <f t="shared" ref="N65" si="57">ROUNDUP(E65*L65/S65,0)*T65+ROUNDUP(E65*M65/U65,0)*V65</f>
        <v>15270</v>
      </c>
      <c r="O65" s="163"/>
      <c r="P65" s="179">
        <f t="shared" si="53"/>
        <v>0</v>
      </c>
      <c r="Q65" s="209">
        <f t="shared" ref="Q65" si="58">(K65+N65+P65)*($R$12)</f>
        <v>18324</v>
      </c>
      <c r="R65" s="163"/>
      <c r="S65" s="160">
        <v>18</v>
      </c>
      <c r="T65" s="160">
        <f>315*S65</f>
        <v>5670</v>
      </c>
      <c r="U65" s="160">
        <v>20</v>
      </c>
      <c r="V65" s="160">
        <f>480*U65</f>
        <v>9600</v>
      </c>
    </row>
    <row r="66" spans="1:22" s="139" customFormat="1" ht="60" customHeight="1" x14ac:dyDescent="0.3">
      <c r="A66" s="28">
        <f t="shared" si="55"/>
        <v>1</v>
      </c>
      <c r="B66" s="220" t="s">
        <v>603</v>
      </c>
      <c r="C66" s="221"/>
      <c r="D66" s="28" t="s">
        <v>252</v>
      </c>
      <c r="E66" s="37">
        <v>60</v>
      </c>
      <c r="F66" s="94">
        <v>400</v>
      </c>
      <c r="G66" s="42">
        <f t="shared" ref="G66:G76" si="59">E66*F66</f>
        <v>24000</v>
      </c>
      <c r="H66" s="28" t="s">
        <v>566</v>
      </c>
      <c r="I66" s="7"/>
      <c r="J66" s="28">
        <f t="shared" ref="J66:J76" si="60">ROUNDUP(E66*L66/S66,0)</f>
        <v>0</v>
      </c>
      <c r="K66" s="28"/>
      <c r="L66" s="28"/>
      <c r="M66" s="28"/>
      <c r="N66" s="166">
        <f t="shared" si="52"/>
        <v>0</v>
      </c>
      <c r="O66" s="163">
        <v>250</v>
      </c>
      <c r="P66" s="179">
        <f>E66*O66</f>
        <v>15000</v>
      </c>
      <c r="Q66" s="180">
        <f t="shared" si="54"/>
        <v>18000</v>
      </c>
      <c r="R66" s="163"/>
      <c r="S66" s="157">
        <v>1</v>
      </c>
      <c r="T66" s="157"/>
      <c r="U66" s="157">
        <v>1</v>
      </c>
      <c r="V66" s="157"/>
    </row>
    <row r="67" spans="1:22" s="139" customFormat="1" ht="60" customHeight="1" x14ac:dyDescent="0.3">
      <c r="A67" s="28">
        <f t="shared" si="55"/>
        <v>2</v>
      </c>
      <c r="B67" s="220" t="s">
        <v>435</v>
      </c>
      <c r="C67" s="221"/>
      <c r="D67" s="28" t="s">
        <v>252</v>
      </c>
      <c r="E67" s="37">
        <v>70</v>
      </c>
      <c r="F67" s="94">
        <v>130</v>
      </c>
      <c r="G67" s="42">
        <f t="shared" si="59"/>
        <v>9100</v>
      </c>
      <c r="H67" s="28"/>
      <c r="I67" s="7"/>
      <c r="J67" s="28">
        <f t="shared" si="60"/>
        <v>0</v>
      </c>
      <c r="K67" s="28">
        <v>10</v>
      </c>
      <c r="L67" s="157"/>
      <c r="M67" s="157"/>
      <c r="N67" s="166">
        <f t="shared" si="52"/>
        <v>0</v>
      </c>
      <c r="O67" s="163">
        <v>100</v>
      </c>
      <c r="P67" s="179">
        <f t="shared" si="53"/>
        <v>7000</v>
      </c>
      <c r="Q67" s="180">
        <f t="shared" si="54"/>
        <v>8412</v>
      </c>
      <c r="R67" s="157"/>
      <c r="S67" s="157">
        <v>30</v>
      </c>
      <c r="T67" s="157"/>
      <c r="U67" s="157">
        <v>1</v>
      </c>
      <c r="V67" s="157"/>
    </row>
    <row r="68" spans="1:22" s="139" customFormat="1" ht="60" customHeight="1" x14ac:dyDescent="0.3">
      <c r="A68" s="28">
        <f t="shared" si="55"/>
        <v>3</v>
      </c>
      <c r="B68" s="220" t="s">
        <v>604</v>
      </c>
      <c r="C68" s="221"/>
      <c r="D68" s="28" t="s">
        <v>252</v>
      </c>
      <c r="E68" s="37">
        <v>60</v>
      </c>
      <c r="F68" s="94">
        <v>550</v>
      </c>
      <c r="G68" s="42">
        <f t="shared" si="59"/>
        <v>33000</v>
      </c>
      <c r="H68" s="28"/>
      <c r="I68" s="7"/>
      <c r="J68" s="28">
        <f>ROUNDUP(E68*L68/S68,0)</f>
        <v>8</v>
      </c>
      <c r="K68" s="28"/>
      <c r="L68" s="28">
        <v>4</v>
      </c>
      <c r="M68" s="28"/>
      <c r="N68" s="166">
        <f t="shared" si="52"/>
        <v>3600</v>
      </c>
      <c r="O68" s="163">
        <v>350</v>
      </c>
      <c r="P68" s="179">
        <f t="shared" si="53"/>
        <v>21000</v>
      </c>
      <c r="Q68" s="180">
        <f t="shared" si="54"/>
        <v>29520</v>
      </c>
      <c r="R68" s="163"/>
      <c r="S68" s="157">
        <v>30</v>
      </c>
      <c r="T68" s="157">
        <v>450</v>
      </c>
      <c r="U68" s="157">
        <v>1</v>
      </c>
      <c r="V68" s="157"/>
    </row>
    <row r="69" spans="1:22" s="139" customFormat="1" ht="60" customHeight="1" x14ac:dyDescent="0.3">
      <c r="A69" s="28">
        <f t="shared" si="55"/>
        <v>4</v>
      </c>
      <c r="B69" s="231" t="s">
        <v>436</v>
      </c>
      <c r="C69" s="232"/>
      <c r="D69" s="28" t="s">
        <v>252</v>
      </c>
      <c r="E69" s="37">
        <v>60</v>
      </c>
      <c r="F69" s="94">
        <v>130</v>
      </c>
      <c r="G69" s="42">
        <f t="shared" si="59"/>
        <v>7800</v>
      </c>
      <c r="H69" s="28"/>
      <c r="I69" s="7"/>
      <c r="J69" s="28"/>
      <c r="K69" s="28">
        <v>20</v>
      </c>
      <c r="L69" s="28">
        <v>1</v>
      </c>
      <c r="M69" s="28"/>
      <c r="N69" s="166">
        <f t="shared" si="52"/>
        <v>0</v>
      </c>
      <c r="O69" s="163">
        <v>100</v>
      </c>
      <c r="P69" s="179">
        <f t="shared" si="53"/>
        <v>6000</v>
      </c>
      <c r="Q69" s="180">
        <f t="shared" si="54"/>
        <v>7224</v>
      </c>
      <c r="R69" s="163"/>
      <c r="S69" s="160">
        <v>30</v>
      </c>
      <c r="T69" s="160"/>
      <c r="U69" s="157">
        <v>1</v>
      </c>
      <c r="V69" s="160"/>
    </row>
    <row r="70" spans="1:22" s="139" customFormat="1" ht="60" customHeight="1" x14ac:dyDescent="0.3">
      <c r="A70" s="28">
        <f t="shared" si="55"/>
        <v>5</v>
      </c>
      <c r="B70" s="220" t="s">
        <v>679</v>
      </c>
      <c r="C70" s="221"/>
      <c r="D70" s="28" t="s">
        <v>252</v>
      </c>
      <c r="E70" s="37">
        <v>60</v>
      </c>
      <c r="F70" s="94">
        <v>350</v>
      </c>
      <c r="G70" s="42">
        <f>E70*F70</f>
        <v>21000</v>
      </c>
      <c r="H70" s="28"/>
      <c r="I70" s="7"/>
      <c r="J70" s="28">
        <f t="shared" si="60"/>
        <v>2</v>
      </c>
      <c r="K70" s="28"/>
      <c r="L70" s="28">
        <v>0.5</v>
      </c>
      <c r="M70" s="28"/>
      <c r="N70" s="166">
        <f>ROUND(E70*L70/S70,1)*T70+ROUND(E70*M70/U70,1)*V70</f>
        <v>11400</v>
      </c>
      <c r="O70" s="163">
        <v>80</v>
      </c>
      <c r="P70" s="179">
        <f>E70*O70</f>
        <v>4800</v>
      </c>
      <c r="Q70" s="180">
        <f>(K70+(N70+P70))*$R$12</f>
        <v>19440</v>
      </c>
      <c r="R70" s="163"/>
      <c r="S70" s="157">
        <v>16</v>
      </c>
      <c r="T70" s="157">
        <v>6000</v>
      </c>
      <c r="U70" s="157">
        <v>1</v>
      </c>
      <c r="V70" s="157"/>
    </row>
    <row r="71" spans="1:22" s="139" customFormat="1" ht="60" customHeight="1" x14ac:dyDescent="0.3">
      <c r="A71" s="28">
        <f t="shared" si="55"/>
        <v>6</v>
      </c>
      <c r="B71" s="220" t="s">
        <v>437</v>
      </c>
      <c r="C71" s="221"/>
      <c r="D71" s="28" t="s">
        <v>7</v>
      </c>
      <c r="E71" s="37">
        <v>15</v>
      </c>
      <c r="F71" s="94">
        <v>200</v>
      </c>
      <c r="G71" s="42">
        <f>E71*F71</f>
        <v>3000</v>
      </c>
      <c r="H71" s="28"/>
      <c r="I71" s="7"/>
      <c r="J71" s="28">
        <f t="shared" si="60"/>
        <v>4</v>
      </c>
      <c r="K71" s="28"/>
      <c r="L71" s="28">
        <v>145</v>
      </c>
      <c r="M71" s="28"/>
      <c r="N71" s="166">
        <f t="shared" ref="N71:N76" si="61">ROUND(E71*L71/S71,1)*T71+ROUND(E71*M71/U71,1)*V71</f>
        <v>760</v>
      </c>
      <c r="O71" s="163">
        <v>100</v>
      </c>
      <c r="P71" s="179">
        <f>E71*O71</f>
        <v>1500</v>
      </c>
      <c r="Q71" s="180">
        <f>(K71+(N71+P71))*$R$12</f>
        <v>2712</v>
      </c>
      <c r="R71" s="163"/>
      <c r="S71" s="160">
        <v>580</v>
      </c>
      <c r="T71" s="160">
        <v>200</v>
      </c>
      <c r="U71" s="157">
        <v>1</v>
      </c>
      <c r="V71" s="160"/>
    </row>
    <row r="72" spans="1:22" s="139" customFormat="1" ht="60" customHeight="1" x14ac:dyDescent="0.3">
      <c r="A72" s="28">
        <f t="shared" si="55"/>
        <v>7</v>
      </c>
      <c r="B72" s="231" t="s">
        <v>699</v>
      </c>
      <c r="C72" s="232"/>
      <c r="D72" s="28" t="s">
        <v>252</v>
      </c>
      <c r="E72" s="37">
        <v>60</v>
      </c>
      <c r="F72" s="94">
        <v>850</v>
      </c>
      <c r="G72" s="42">
        <f t="shared" si="59"/>
        <v>51000</v>
      </c>
      <c r="H72" s="28"/>
      <c r="I72" s="7"/>
      <c r="J72" s="28">
        <f t="shared" si="60"/>
        <v>11</v>
      </c>
      <c r="K72" s="28"/>
      <c r="L72" s="28">
        <v>3.5</v>
      </c>
      <c r="M72" s="28"/>
      <c r="N72" s="166">
        <f t="shared" si="61"/>
        <v>21000</v>
      </c>
      <c r="O72" s="163">
        <v>300</v>
      </c>
      <c r="P72" s="179">
        <f t="shared" si="53"/>
        <v>18000</v>
      </c>
      <c r="Q72" s="180">
        <f t="shared" si="54"/>
        <v>46800</v>
      </c>
      <c r="R72" s="163"/>
      <c r="S72" s="157">
        <v>20</v>
      </c>
      <c r="T72" s="157">
        <v>2000</v>
      </c>
      <c r="U72" s="157">
        <v>1</v>
      </c>
      <c r="V72" s="157"/>
    </row>
    <row r="73" spans="1:22" s="139" customFormat="1" ht="60" customHeight="1" x14ac:dyDescent="0.3">
      <c r="A73" s="28">
        <f t="shared" si="55"/>
        <v>8</v>
      </c>
      <c r="B73" s="220" t="s">
        <v>605</v>
      </c>
      <c r="C73" s="221"/>
      <c r="D73" s="28" t="s">
        <v>252</v>
      </c>
      <c r="E73" s="37">
        <v>60</v>
      </c>
      <c r="F73" s="94">
        <v>520</v>
      </c>
      <c r="G73" s="42">
        <f t="shared" si="59"/>
        <v>31200</v>
      </c>
      <c r="H73" s="28"/>
      <c r="I73" s="7"/>
      <c r="J73" s="28">
        <f t="shared" si="60"/>
        <v>2</v>
      </c>
      <c r="K73" s="28"/>
      <c r="L73" s="28">
        <v>1</v>
      </c>
      <c r="M73" s="28">
        <v>0.02</v>
      </c>
      <c r="N73" s="166">
        <f t="shared" si="61"/>
        <v>18000</v>
      </c>
      <c r="O73" s="163">
        <v>100</v>
      </c>
      <c r="P73" s="179">
        <f t="shared" si="53"/>
        <v>6000</v>
      </c>
      <c r="Q73" s="180">
        <f t="shared" si="54"/>
        <v>28800</v>
      </c>
      <c r="R73" s="163"/>
      <c r="S73" s="164">
        <v>50</v>
      </c>
      <c r="T73" s="157">
        <v>14000</v>
      </c>
      <c r="U73" s="157">
        <v>1</v>
      </c>
      <c r="V73" s="157">
        <v>1000</v>
      </c>
    </row>
    <row r="74" spans="1:22" s="139" customFormat="1" ht="60" customHeight="1" x14ac:dyDescent="0.3">
      <c r="A74" s="28">
        <f t="shared" si="55"/>
        <v>9</v>
      </c>
      <c r="B74" s="220" t="s">
        <v>678</v>
      </c>
      <c r="C74" s="221"/>
      <c r="D74" s="28" t="s">
        <v>252</v>
      </c>
      <c r="E74" s="37">
        <v>70</v>
      </c>
      <c r="F74" s="94">
        <v>580</v>
      </c>
      <c r="G74" s="42">
        <f t="shared" si="59"/>
        <v>40600</v>
      </c>
      <c r="H74" s="28"/>
      <c r="I74" s="7"/>
      <c r="J74" s="28">
        <f t="shared" si="60"/>
        <v>5</v>
      </c>
      <c r="K74" s="28"/>
      <c r="L74" s="28">
        <v>1.2</v>
      </c>
      <c r="M74" s="28"/>
      <c r="N74" s="166">
        <f t="shared" si="61"/>
        <v>10080</v>
      </c>
      <c r="O74" s="163">
        <v>300</v>
      </c>
      <c r="P74" s="179">
        <f t="shared" si="53"/>
        <v>21000</v>
      </c>
      <c r="Q74" s="180">
        <f t="shared" si="54"/>
        <v>37296</v>
      </c>
      <c r="R74" s="163"/>
      <c r="S74" s="160">
        <v>20</v>
      </c>
      <c r="T74" s="160">
        <v>2400</v>
      </c>
      <c r="U74" s="160">
        <v>1</v>
      </c>
      <c r="V74" s="160"/>
    </row>
    <row r="75" spans="1:22" s="139" customFormat="1" ht="60" customHeight="1" x14ac:dyDescent="0.3">
      <c r="A75" s="28">
        <f t="shared" si="55"/>
        <v>10</v>
      </c>
      <c r="B75" s="220" t="s">
        <v>438</v>
      </c>
      <c r="C75" s="221"/>
      <c r="D75" s="28" t="s">
        <v>13</v>
      </c>
      <c r="E75" s="37">
        <v>2</v>
      </c>
      <c r="F75" s="94">
        <v>1300</v>
      </c>
      <c r="G75" s="42">
        <f t="shared" si="59"/>
        <v>2600</v>
      </c>
      <c r="H75" s="28"/>
      <c r="I75" s="7"/>
      <c r="J75" s="28">
        <f t="shared" si="60"/>
        <v>2</v>
      </c>
      <c r="K75" s="28"/>
      <c r="L75" s="28">
        <v>1</v>
      </c>
      <c r="M75" s="28"/>
      <c r="N75" s="166">
        <f t="shared" si="61"/>
        <v>2000</v>
      </c>
      <c r="O75" s="163"/>
      <c r="P75" s="179">
        <f t="shared" si="53"/>
        <v>0</v>
      </c>
      <c r="Q75" s="180">
        <f t="shared" si="54"/>
        <v>2400</v>
      </c>
      <c r="R75" s="163"/>
      <c r="S75" s="160">
        <v>1</v>
      </c>
      <c r="T75" s="160">
        <v>1000</v>
      </c>
      <c r="U75" s="160">
        <v>1</v>
      </c>
      <c r="V75" s="160"/>
    </row>
    <row r="76" spans="1:22" s="139" customFormat="1" ht="60" customHeight="1" x14ac:dyDescent="0.3">
      <c r="A76" s="28">
        <f t="shared" si="55"/>
        <v>11</v>
      </c>
      <c r="B76" s="220" t="s">
        <v>439</v>
      </c>
      <c r="C76" s="221"/>
      <c r="D76" s="28" t="s">
        <v>4</v>
      </c>
      <c r="E76" s="37">
        <v>1</v>
      </c>
      <c r="F76" s="94">
        <v>5000</v>
      </c>
      <c r="G76" s="42">
        <f t="shared" si="59"/>
        <v>5000</v>
      </c>
      <c r="H76" s="28"/>
      <c r="I76" s="7"/>
      <c r="J76" s="28">
        <f t="shared" si="60"/>
        <v>1</v>
      </c>
      <c r="K76" s="28"/>
      <c r="L76" s="28">
        <v>0.5</v>
      </c>
      <c r="M76" s="28"/>
      <c r="N76" s="166">
        <f t="shared" si="61"/>
        <v>0</v>
      </c>
      <c r="O76" s="163"/>
      <c r="P76" s="179">
        <f t="shared" si="53"/>
        <v>0</v>
      </c>
      <c r="Q76" s="180">
        <f t="shared" si="54"/>
        <v>0</v>
      </c>
      <c r="R76" s="163"/>
      <c r="S76" s="160">
        <v>20</v>
      </c>
      <c r="T76" s="160">
        <f>480*S76</f>
        <v>9600</v>
      </c>
      <c r="U76" s="160">
        <v>1</v>
      </c>
      <c r="V76" s="160"/>
    </row>
    <row r="77" spans="1:22" s="145" customFormat="1" x14ac:dyDescent="0.3">
      <c r="A77" s="28"/>
      <c r="B77" s="215" t="s">
        <v>481</v>
      </c>
      <c r="C77" s="216"/>
      <c r="D77" s="28"/>
      <c r="E77" s="37"/>
      <c r="F77" s="94"/>
      <c r="G77" s="156">
        <f>SUM(G64:G76)</f>
        <v>278300</v>
      </c>
      <c r="H77" s="28"/>
      <c r="I77" s="7"/>
      <c r="J77" s="170"/>
      <c r="K77" s="170"/>
      <c r="L77" s="170"/>
      <c r="M77" s="170"/>
      <c r="N77" s="171"/>
      <c r="O77" s="171"/>
      <c r="P77" s="171"/>
      <c r="Q77" s="182"/>
      <c r="R77" s="171"/>
      <c r="S77" s="172"/>
      <c r="T77" s="172"/>
      <c r="U77" s="172"/>
      <c r="V77" s="172"/>
    </row>
    <row r="78" spans="1:22" hidden="1" x14ac:dyDescent="0.3">
      <c r="A78" s="28" t="s">
        <v>625</v>
      </c>
      <c r="B78" s="217" t="s">
        <v>715</v>
      </c>
      <c r="C78" s="218"/>
      <c r="D78" s="218"/>
      <c r="E78" s="218"/>
      <c r="F78" s="218"/>
      <c r="G78" s="218"/>
      <c r="H78" s="219"/>
      <c r="I78" s="7"/>
      <c r="J78" s="157"/>
      <c r="K78" s="157"/>
      <c r="L78" s="187"/>
      <c r="M78" s="187"/>
      <c r="N78" s="162"/>
      <c r="O78" s="186"/>
      <c r="P78" s="162"/>
      <c r="Q78" s="180"/>
      <c r="R78" s="161"/>
      <c r="S78" s="157"/>
      <c r="T78" s="157"/>
      <c r="U78" s="157"/>
      <c r="V78" s="157"/>
    </row>
    <row r="79" spans="1:22" s="139" customFormat="1" ht="60" hidden="1" customHeight="1" x14ac:dyDescent="0.3">
      <c r="A79" s="28">
        <f>ROW()-81</f>
        <v>-2</v>
      </c>
      <c r="B79" s="220" t="s">
        <v>670</v>
      </c>
      <c r="C79" s="221"/>
      <c r="D79" s="28" t="s">
        <v>7</v>
      </c>
      <c r="E79" s="37">
        <v>1</v>
      </c>
      <c r="F79" s="94">
        <v>1500</v>
      </c>
      <c r="G79" s="42">
        <f>E79*F79</f>
        <v>1500</v>
      </c>
      <c r="H79" s="28" t="s">
        <v>566</v>
      </c>
      <c r="I79" s="7"/>
      <c r="J79" s="28"/>
      <c r="K79" s="28">
        <f>0.01*500+20</f>
        <v>25</v>
      </c>
      <c r="L79" s="28"/>
      <c r="M79" s="28"/>
      <c r="N79" s="166">
        <f t="shared" ref="N79:N81" si="62">ROUNDUP(E79*L79/S79,0)*T79+ROUNDUP(E79*M79/U79,0)*V79</f>
        <v>0</v>
      </c>
      <c r="O79" s="163">
        <f>4000*0.02</f>
        <v>80</v>
      </c>
      <c r="P79" s="179">
        <f t="shared" ref="P79:P81" si="63">E79*O79</f>
        <v>80</v>
      </c>
      <c r="Q79" s="209">
        <f>(K79+(N79+P79))*$R$12</f>
        <v>126</v>
      </c>
      <c r="R79" s="163"/>
      <c r="S79" s="157">
        <v>1</v>
      </c>
      <c r="T79" s="157"/>
      <c r="U79" s="157">
        <v>1</v>
      </c>
      <c r="V79" s="157"/>
    </row>
    <row r="80" spans="1:22" s="139" customFormat="1" ht="60" hidden="1" customHeight="1" x14ac:dyDescent="0.3">
      <c r="A80" s="28">
        <f t="shared" ref="A80:A81" si="64">ROW()-81</f>
        <v>-1</v>
      </c>
      <c r="B80" s="220" t="s">
        <v>245</v>
      </c>
      <c r="C80" s="221"/>
      <c r="D80" s="32" t="s">
        <v>252</v>
      </c>
      <c r="E80" s="37">
        <v>1</v>
      </c>
      <c r="F80" s="94">
        <v>2000</v>
      </c>
      <c r="G80" s="42">
        <f t="shared" ref="G80" si="65">E80*F80</f>
        <v>2000</v>
      </c>
      <c r="H80" s="28" t="s">
        <v>566</v>
      </c>
      <c r="I80" s="7"/>
      <c r="J80" s="214" t="e">
        <f t="shared" ref="J80:J81" si="66">E80*L80/S80</f>
        <v>#DIV/0!</v>
      </c>
      <c r="K80" s="28"/>
      <c r="L80" s="28"/>
      <c r="M80" s="28"/>
      <c r="N80" s="166" t="e">
        <f t="shared" si="62"/>
        <v>#DIV/0!</v>
      </c>
      <c r="O80" s="163"/>
      <c r="P80" s="179">
        <f t="shared" si="63"/>
        <v>0</v>
      </c>
      <c r="Q80" s="209"/>
      <c r="R80" s="163"/>
      <c r="S80" s="157"/>
      <c r="T80" s="157"/>
      <c r="U80" s="157"/>
      <c r="V80" s="157"/>
    </row>
    <row r="81" spans="1:22" s="139" customFormat="1" ht="60" hidden="1" customHeight="1" x14ac:dyDescent="0.3">
      <c r="A81" s="28">
        <f t="shared" si="64"/>
        <v>0</v>
      </c>
      <c r="B81" s="220" t="s">
        <v>419</v>
      </c>
      <c r="C81" s="221"/>
      <c r="D81" s="32" t="s">
        <v>252</v>
      </c>
      <c r="E81" s="37">
        <v>1</v>
      </c>
      <c r="F81" s="94">
        <v>600</v>
      </c>
      <c r="G81" s="42">
        <f>E81*F81</f>
        <v>600</v>
      </c>
      <c r="H81" s="28"/>
      <c r="I81" s="7"/>
      <c r="J81" s="214">
        <f t="shared" si="66"/>
        <v>2.5000000000000001E-2</v>
      </c>
      <c r="K81" s="28"/>
      <c r="L81" s="28">
        <v>0.4</v>
      </c>
      <c r="M81" s="28">
        <v>0.4</v>
      </c>
      <c r="N81" s="166">
        <f t="shared" si="62"/>
        <v>11000</v>
      </c>
      <c r="O81" s="163"/>
      <c r="P81" s="179">
        <f t="shared" si="63"/>
        <v>0</v>
      </c>
      <c r="Q81" s="209">
        <f t="shared" ref="Q81" si="67">(K81+N81+P81)*($R$12)</f>
        <v>13200</v>
      </c>
      <c r="R81" s="163"/>
      <c r="S81" s="168">
        <v>16</v>
      </c>
      <c r="T81" s="157">
        <v>5500</v>
      </c>
      <c r="U81" s="168">
        <v>16</v>
      </c>
      <c r="V81" s="157">
        <v>5500</v>
      </c>
    </row>
    <row r="82" spans="1:22" s="145" customFormat="1" hidden="1" x14ac:dyDescent="0.3">
      <c r="A82" s="28"/>
      <c r="B82" s="215" t="s">
        <v>481</v>
      </c>
      <c r="C82" s="216"/>
      <c r="D82" s="28"/>
      <c r="E82" s="37"/>
      <c r="F82" s="94"/>
      <c r="G82" s="156">
        <f>SUM(G79:G81)</f>
        <v>4100</v>
      </c>
      <c r="H82" s="28"/>
      <c r="I82" s="7"/>
      <c r="J82" s="170"/>
      <c r="K82" s="170"/>
      <c r="L82" s="170"/>
      <c r="M82" s="170"/>
      <c r="N82" s="171"/>
      <c r="O82" s="171"/>
      <c r="P82" s="171"/>
      <c r="Q82" s="182"/>
      <c r="R82" s="171"/>
      <c r="S82" s="172"/>
      <c r="T82" s="172"/>
      <c r="U82" s="172"/>
      <c r="V82" s="172"/>
    </row>
    <row r="83" spans="1:22" x14ac:dyDescent="0.3">
      <c r="A83" s="228" t="s">
        <v>17</v>
      </c>
      <c r="B83" s="193">
        <f>ROW()-82</f>
        <v>1</v>
      </c>
      <c r="C83" s="230" t="s">
        <v>701</v>
      </c>
      <c r="D83" s="227"/>
      <c r="E83" s="227"/>
      <c r="F83" s="227"/>
      <c r="G83" s="227"/>
      <c r="H83" s="227"/>
      <c r="J83" s="43"/>
      <c r="K83" s="43"/>
      <c r="L83" s="43"/>
      <c r="M83" s="43"/>
      <c r="N83" s="43"/>
      <c r="O83" s="43"/>
      <c r="P83" s="43"/>
      <c r="Q83" s="183"/>
      <c r="R83" s="43"/>
      <c r="S83" s="28"/>
      <c r="T83" s="28"/>
      <c r="U83" s="28"/>
      <c r="V83" s="28"/>
    </row>
    <row r="84" spans="1:22" x14ac:dyDescent="0.3">
      <c r="A84" s="228"/>
      <c r="B84" s="193">
        <f t="shared" ref="B84:B86" si="68">ROW()-82</f>
        <v>2</v>
      </c>
      <c r="C84" s="227" t="s">
        <v>597</v>
      </c>
      <c r="D84" s="227"/>
      <c r="E84" s="227"/>
      <c r="F84" s="227"/>
      <c r="G84" s="227"/>
      <c r="H84" s="227"/>
      <c r="J84" s="43"/>
      <c r="K84" s="43"/>
      <c r="L84" s="43"/>
      <c r="M84" s="43"/>
      <c r="N84" s="43"/>
      <c r="O84" s="43"/>
      <c r="P84" s="43"/>
      <c r="Q84" s="183"/>
      <c r="R84" s="43"/>
      <c r="S84" s="28"/>
      <c r="T84" s="28"/>
      <c r="U84" s="28"/>
      <c r="V84" s="28"/>
    </row>
    <row r="85" spans="1:22" x14ac:dyDescent="0.3">
      <c r="A85" s="228"/>
      <c r="B85" s="193">
        <f t="shared" si="68"/>
        <v>3</v>
      </c>
      <c r="C85" s="233" t="s">
        <v>662</v>
      </c>
      <c r="D85" s="234"/>
      <c r="E85" s="234"/>
      <c r="F85" s="234"/>
      <c r="G85" s="234"/>
      <c r="H85" s="235"/>
      <c r="J85" s="43"/>
      <c r="K85" s="43"/>
      <c r="L85" s="43"/>
      <c r="M85" s="43"/>
      <c r="N85" s="43"/>
      <c r="O85" s="43"/>
      <c r="P85" s="43"/>
      <c r="Q85" s="183"/>
      <c r="R85" s="43"/>
      <c r="S85" s="28"/>
      <c r="T85" s="28"/>
      <c r="U85" s="28"/>
      <c r="V85" s="28"/>
    </row>
    <row r="86" spans="1:22" x14ac:dyDescent="0.3">
      <c r="A86" s="229"/>
      <c r="B86" s="193">
        <f t="shared" si="68"/>
        <v>4</v>
      </c>
      <c r="C86" s="227" t="s">
        <v>599</v>
      </c>
      <c r="D86" s="227"/>
      <c r="E86" s="227"/>
      <c r="F86" s="227"/>
      <c r="G86" s="227"/>
      <c r="H86" s="227"/>
      <c r="J86" s="43"/>
      <c r="K86" s="43"/>
      <c r="L86" s="43"/>
      <c r="M86" s="43"/>
      <c r="N86" s="43"/>
      <c r="O86" s="43"/>
      <c r="P86" s="43"/>
      <c r="Q86" s="183"/>
      <c r="R86" s="43"/>
      <c r="S86" s="28"/>
      <c r="T86" s="28"/>
      <c r="U86" s="28"/>
      <c r="V86" s="28"/>
    </row>
    <row r="88" spans="1:22" x14ac:dyDescent="0.3">
      <c r="H88" s="60"/>
      <c r="J88" s="205"/>
    </row>
  </sheetData>
  <mergeCells count="78">
    <mergeCell ref="B63:H63"/>
    <mergeCell ref="B58:C58"/>
    <mergeCell ref="B59:C59"/>
    <mergeCell ref="B60:C60"/>
    <mergeCell ref="B61:C61"/>
    <mergeCell ref="B62:H62"/>
    <mergeCell ref="B56:C56"/>
    <mergeCell ref="B54:C54"/>
    <mergeCell ref="B55:C55"/>
    <mergeCell ref="B57:H57"/>
    <mergeCell ref="B53:C53"/>
    <mergeCell ref="B13:H13"/>
    <mergeCell ref="B39:H39"/>
    <mergeCell ref="B44:C44"/>
    <mergeCell ref="B43:C43"/>
    <mergeCell ref="B46:H46"/>
    <mergeCell ref="B45:C45"/>
    <mergeCell ref="B36:C36"/>
    <mergeCell ref="B41:C41"/>
    <mergeCell ref="B40:H40"/>
    <mergeCell ref="B19:C19"/>
    <mergeCell ref="B34:C34"/>
    <mergeCell ref="B30:C30"/>
    <mergeCell ref="B31:C31"/>
    <mergeCell ref="B27:C27"/>
    <mergeCell ref="B26:C26"/>
    <mergeCell ref="B28:H28"/>
    <mergeCell ref="B37:C37"/>
    <mergeCell ref="B38:C38"/>
    <mergeCell ref="B35:H35"/>
    <mergeCell ref="B20:C20"/>
    <mergeCell ref="A83:A86"/>
    <mergeCell ref="C83:H83"/>
    <mergeCell ref="C84:H84"/>
    <mergeCell ref="C85:H85"/>
    <mergeCell ref="C86:H86"/>
    <mergeCell ref="B50:C50"/>
    <mergeCell ref="B51:C51"/>
    <mergeCell ref="B47:C47"/>
    <mergeCell ref="B48:C48"/>
    <mergeCell ref="B42:C42"/>
    <mergeCell ref="B49:C49"/>
    <mergeCell ref="B52:H52"/>
    <mergeCell ref="A1:H1"/>
    <mergeCell ref="G3:H3"/>
    <mergeCell ref="B12:C12"/>
    <mergeCell ref="B33:C33"/>
    <mergeCell ref="B25:C25"/>
    <mergeCell ref="B29:C29"/>
    <mergeCell ref="B22:C22"/>
    <mergeCell ref="B24:C24"/>
    <mergeCell ref="B21:H21"/>
    <mergeCell ref="B23:C23"/>
    <mergeCell ref="B14:H14"/>
    <mergeCell ref="B15:C15"/>
    <mergeCell ref="B16:C16"/>
    <mergeCell ref="B17:C17"/>
    <mergeCell ref="B18:C18"/>
    <mergeCell ref="B32:C32"/>
    <mergeCell ref="B64:C64"/>
    <mergeCell ref="B66:C66"/>
    <mergeCell ref="B67:C67"/>
    <mergeCell ref="B68:C68"/>
    <mergeCell ref="B69:C69"/>
    <mergeCell ref="B65:C65"/>
    <mergeCell ref="B70:C70"/>
    <mergeCell ref="B71:C71"/>
    <mergeCell ref="B72:C72"/>
    <mergeCell ref="B73:C73"/>
    <mergeCell ref="B74:C74"/>
    <mergeCell ref="B79:C79"/>
    <mergeCell ref="B80:C80"/>
    <mergeCell ref="B81:C81"/>
    <mergeCell ref="B82:C82"/>
    <mergeCell ref="B75:C75"/>
    <mergeCell ref="B76:C76"/>
    <mergeCell ref="B77:C77"/>
    <mergeCell ref="B78:H78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1" fitToHeight="0" orientation="portrait" horizontalDpi="300" verticalDpi="300" r:id="rId1"/>
  <headerFooter alignWithMargins="0">
    <oddFooter>&amp;C&amp;P/&amp;N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1008-F098-E845-82C8-C49817C0D613}">
  <sheetPr>
    <tabColor theme="9" tint="0.79998168889431442"/>
    <pageSetUpPr fitToPage="1"/>
  </sheetPr>
  <dimension ref="A1:V34"/>
  <sheetViews>
    <sheetView showGridLines="0" view="pageBreakPreview" zoomScaleNormal="70" zoomScaleSheetLayoutView="100" zoomScalePageLayoutView="85" workbookViewId="0">
      <selection activeCell="B18" sqref="B18:C18"/>
    </sheetView>
  </sheetViews>
  <sheetFormatPr defaultColWidth="9" defaultRowHeight="17.399999999999999" x14ac:dyDescent="0.3"/>
  <cols>
    <col min="1" max="1" width="5.6640625" style="7" customWidth="1"/>
    <col min="2" max="2" width="4.33203125" style="7" bestFit="1" customWidth="1"/>
    <col min="3" max="3" width="59.6640625" style="4" customWidth="1"/>
    <col min="4" max="4" width="8.44140625" style="4" customWidth="1"/>
    <col min="5" max="5" width="10.44140625" style="69" bestFit="1" customWidth="1"/>
    <col min="6" max="6" width="14.664062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44140625" style="4" bestFit="1" customWidth="1"/>
    <col min="12" max="13" width="19.6640625" style="4" bestFit="1" customWidth="1"/>
    <col min="14" max="14" width="14.6640625" style="4" bestFit="1" customWidth="1"/>
    <col min="15" max="15" width="17.44140625" style="4" bestFit="1" customWidth="1"/>
    <col min="16" max="16" width="14.6640625" style="4" bestFit="1" customWidth="1"/>
    <col min="17" max="17" width="16" style="181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95"/>
      <c r="G3" s="223"/>
      <c r="H3" s="224"/>
      <c r="I3" s="73"/>
    </row>
    <row r="4" spans="1:22" x14ac:dyDescent="0.3">
      <c r="A4" s="17"/>
      <c r="B4" s="3"/>
      <c r="D4" s="7"/>
      <c r="E4" s="72"/>
      <c r="F4" s="196"/>
      <c r="G4" s="19"/>
      <c r="H4" s="20"/>
    </row>
    <row r="5" spans="1:22" x14ac:dyDescent="0.3">
      <c r="A5" s="17"/>
      <c r="B5" s="3"/>
      <c r="D5" s="7"/>
      <c r="E5" s="72"/>
      <c r="F5" s="196"/>
      <c r="G5" s="73"/>
      <c r="H5" s="74"/>
      <c r="I5" s="73"/>
    </row>
    <row r="6" spans="1:22" x14ac:dyDescent="0.3">
      <c r="A6" s="17"/>
      <c r="B6" s="3"/>
      <c r="D6" s="7"/>
      <c r="E6" s="72"/>
      <c r="G6" s="73"/>
      <c r="H6" s="74"/>
      <c r="I6" s="73"/>
    </row>
    <row r="7" spans="1:22" x14ac:dyDescent="0.3">
      <c r="A7" s="17"/>
      <c r="B7" s="3"/>
      <c r="D7" s="7"/>
      <c r="E7" s="72"/>
      <c r="F7" s="196" t="s">
        <v>21</v>
      </c>
      <c r="G7" s="73"/>
      <c r="H7" s="74"/>
      <c r="I7" s="73"/>
    </row>
    <row r="8" spans="1:22" x14ac:dyDescent="0.3">
      <c r="A8" s="17"/>
      <c r="B8" s="3"/>
      <c r="D8" s="7"/>
      <c r="E8" s="72"/>
      <c r="F8" s="196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6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197" t="s">
        <v>25</v>
      </c>
      <c r="G10" s="73"/>
      <c r="H10" s="74"/>
      <c r="I10" s="73"/>
    </row>
    <row r="11" spans="1:22" ht="22.2" customHeight="1" x14ac:dyDescent="0.3">
      <c r="A11" s="23" t="s">
        <v>26</v>
      </c>
      <c r="B11" s="24"/>
      <c r="C11" s="24"/>
      <c r="D11" s="25"/>
      <c r="E11" s="62"/>
      <c r="F11" s="196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180" t="s">
        <v>558</v>
      </c>
      <c r="R12" s="161">
        <v>1.3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s="139" customFormat="1" ht="60" customHeight="1" x14ac:dyDescent="0.3">
      <c r="A13" s="28">
        <f>ROW()-12</f>
        <v>1</v>
      </c>
      <c r="B13" s="220" t="s">
        <v>446</v>
      </c>
      <c r="C13" s="221"/>
      <c r="D13" s="28" t="s">
        <v>4</v>
      </c>
      <c r="E13" s="37">
        <v>1</v>
      </c>
      <c r="F13" s="190">
        <v>22000</v>
      </c>
      <c r="G13" s="42">
        <f t="shared" ref="G13:G22" si="0">E13*F13</f>
        <v>22000</v>
      </c>
      <c r="H13" s="28" t="s">
        <v>566</v>
      </c>
      <c r="I13" s="7"/>
      <c r="J13" s="28"/>
      <c r="K13" s="28">
        <f>0.01*500+20</f>
        <v>25</v>
      </c>
      <c r="L13" s="28"/>
      <c r="M13" s="28"/>
      <c r="N13" s="166">
        <f t="shared" ref="N13:N22" si="1">ROUNDUP(E13*L13/S13,0)*T13+ROUNDUP(E13*M13/U13,0)*V13</f>
        <v>0</v>
      </c>
      <c r="O13" s="163">
        <f>4000*0.02</f>
        <v>80</v>
      </c>
      <c r="P13" s="179">
        <f t="shared" ref="P13:P22" si="2">E13*O13</f>
        <v>80</v>
      </c>
      <c r="Q13" s="184">
        <f t="shared" ref="Q13:Q22" si="3">(K13+(N13+P13))*$R$12</f>
        <v>136.5</v>
      </c>
      <c r="R13" s="163"/>
      <c r="S13" s="157">
        <v>1</v>
      </c>
      <c r="T13" s="157"/>
      <c r="U13" s="157">
        <v>1</v>
      </c>
      <c r="V13" s="157"/>
    </row>
    <row r="14" spans="1:22" s="139" customFormat="1" ht="60" customHeight="1" x14ac:dyDescent="0.3">
      <c r="A14" s="28">
        <f t="shared" ref="A14:A22" si="4">ROW()-12</f>
        <v>2</v>
      </c>
      <c r="B14" s="220" t="s">
        <v>697</v>
      </c>
      <c r="C14" s="221"/>
      <c r="D14" s="28" t="s">
        <v>4</v>
      </c>
      <c r="E14" s="37">
        <v>1</v>
      </c>
      <c r="F14" s="190">
        <v>4000</v>
      </c>
      <c r="G14" s="42">
        <f t="shared" si="0"/>
        <v>4000</v>
      </c>
      <c r="H14" s="28"/>
      <c r="I14" s="7"/>
      <c r="J14" s="28"/>
      <c r="K14" s="28"/>
      <c r="L14" s="28"/>
      <c r="M14" s="28"/>
      <c r="N14" s="166">
        <f t="shared" si="1"/>
        <v>0</v>
      </c>
      <c r="O14" s="163"/>
      <c r="P14" s="179">
        <f>E14*O14</f>
        <v>0</v>
      </c>
      <c r="Q14" s="189"/>
      <c r="R14" s="163"/>
      <c r="S14" s="157">
        <v>1</v>
      </c>
      <c r="T14" s="157"/>
      <c r="U14" s="157">
        <v>1</v>
      </c>
      <c r="V14" s="157"/>
    </row>
    <row r="15" spans="1:22" s="139" customFormat="1" ht="60" customHeight="1" x14ac:dyDescent="0.3">
      <c r="A15" s="28">
        <f t="shared" si="4"/>
        <v>3</v>
      </c>
      <c r="B15" s="220" t="s">
        <v>583</v>
      </c>
      <c r="C15" s="221"/>
      <c r="D15" s="28" t="s">
        <v>4</v>
      </c>
      <c r="E15" s="37">
        <v>1</v>
      </c>
      <c r="F15" s="190">
        <v>6000</v>
      </c>
      <c r="G15" s="42">
        <f t="shared" si="0"/>
        <v>6000</v>
      </c>
      <c r="H15" s="28"/>
      <c r="I15" s="7"/>
      <c r="J15" s="173">
        <f>E15*L15/S15</f>
        <v>0.13333333333333333</v>
      </c>
      <c r="K15" s="28"/>
      <c r="L15" s="157">
        <v>4</v>
      </c>
      <c r="M15" s="157"/>
      <c r="N15" s="166">
        <f t="shared" si="1"/>
        <v>425</v>
      </c>
      <c r="O15" s="163">
        <v>350</v>
      </c>
      <c r="P15" s="179">
        <f t="shared" si="2"/>
        <v>350</v>
      </c>
      <c r="Q15" s="188">
        <f>(K15+N15+P15)*($R$12)</f>
        <v>1007.5</v>
      </c>
      <c r="R15" s="157"/>
      <c r="S15" s="157">
        <v>30</v>
      </c>
      <c r="T15" s="157">
        <v>425</v>
      </c>
      <c r="U15" s="157">
        <v>1</v>
      </c>
      <c r="V15" s="157"/>
    </row>
    <row r="16" spans="1:22" s="139" customFormat="1" ht="60" customHeight="1" x14ac:dyDescent="0.3">
      <c r="A16" s="28">
        <f t="shared" si="4"/>
        <v>4</v>
      </c>
      <c r="B16" s="220" t="s">
        <v>698</v>
      </c>
      <c r="C16" s="221"/>
      <c r="D16" s="28" t="s">
        <v>4</v>
      </c>
      <c r="E16" s="37">
        <v>1</v>
      </c>
      <c r="F16" s="190">
        <v>12000</v>
      </c>
      <c r="G16" s="42">
        <f t="shared" si="0"/>
        <v>12000</v>
      </c>
      <c r="H16" s="28"/>
      <c r="I16" s="7"/>
      <c r="J16" s="28">
        <f>ROUNDUP(E16*L16/S16,0)</f>
        <v>1</v>
      </c>
      <c r="K16" s="28"/>
      <c r="L16" s="28">
        <v>1</v>
      </c>
      <c r="M16" s="28"/>
      <c r="N16" s="166">
        <f t="shared" si="1"/>
        <v>14000</v>
      </c>
      <c r="O16" s="163">
        <v>0</v>
      </c>
      <c r="P16" s="179">
        <f t="shared" si="2"/>
        <v>0</v>
      </c>
      <c r="Q16" s="184">
        <f t="shared" si="3"/>
        <v>18200</v>
      </c>
      <c r="R16" s="163"/>
      <c r="S16" s="157">
        <v>50</v>
      </c>
      <c r="T16" s="157">
        <v>14000</v>
      </c>
      <c r="U16" s="157">
        <v>1</v>
      </c>
      <c r="V16" s="157"/>
    </row>
    <row r="17" spans="1:22" s="139" customFormat="1" ht="60" customHeight="1" x14ac:dyDescent="0.3">
      <c r="A17" s="28">
        <f t="shared" si="4"/>
        <v>5</v>
      </c>
      <c r="B17" s="231" t="s">
        <v>447</v>
      </c>
      <c r="C17" s="232"/>
      <c r="D17" s="28" t="s">
        <v>4</v>
      </c>
      <c r="E17" s="37">
        <v>1</v>
      </c>
      <c r="F17" s="190">
        <v>15000</v>
      </c>
      <c r="G17" s="42">
        <f t="shared" si="0"/>
        <v>15000</v>
      </c>
      <c r="H17" s="28"/>
      <c r="I17" s="7"/>
      <c r="J17" s="28"/>
      <c r="K17" s="28"/>
      <c r="L17" s="28">
        <v>1</v>
      </c>
      <c r="M17" s="28"/>
      <c r="N17" s="166">
        <f t="shared" si="1"/>
        <v>5000</v>
      </c>
      <c r="O17" s="163">
        <f>4000*0.22</f>
        <v>880</v>
      </c>
      <c r="P17" s="179">
        <f t="shared" si="2"/>
        <v>880</v>
      </c>
      <c r="Q17" s="185">
        <f t="shared" si="3"/>
        <v>7644</v>
      </c>
      <c r="R17" s="163"/>
      <c r="S17" s="160">
        <v>30</v>
      </c>
      <c r="T17" s="160">
        <v>5000</v>
      </c>
      <c r="U17" s="157">
        <v>1</v>
      </c>
      <c r="V17" s="160"/>
    </row>
    <row r="18" spans="1:22" s="139" customFormat="1" ht="60" customHeight="1" x14ac:dyDescent="0.3">
      <c r="A18" s="28">
        <f t="shared" si="4"/>
        <v>6</v>
      </c>
      <c r="B18" s="231" t="s">
        <v>448</v>
      </c>
      <c r="C18" s="232"/>
      <c r="D18" s="28" t="s">
        <v>4</v>
      </c>
      <c r="E18" s="37">
        <v>1</v>
      </c>
      <c r="F18" s="190">
        <v>12000</v>
      </c>
      <c r="G18" s="42">
        <f t="shared" si="0"/>
        <v>12000</v>
      </c>
      <c r="H18" s="28"/>
      <c r="I18" s="7"/>
      <c r="J18" s="28"/>
      <c r="K18" s="28"/>
      <c r="L18" s="28">
        <v>1</v>
      </c>
      <c r="M18" s="28"/>
      <c r="N18" s="166">
        <f t="shared" si="1"/>
        <v>0</v>
      </c>
      <c r="O18" s="163">
        <f>4000*0.1</f>
        <v>400</v>
      </c>
      <c r="P18" s="179">
        <f t="shared" si="2"/>
        <v>400</v>
      </c>
      <c r="Q18" s="184">
        <f t="shared" si="3"/>
        <v>520</v>
      </c>
      <c r="R18" s="163"/>
      <c r="S18" s="157">
        <v>1</v>
      </c>
      <c r="T18" s="157"/>
      <c r="U18" s="157">
        <v>1</v>
      </c>
      <c r="V18" s="157"/>
    </row>
    <row r="19" spans="1:22" s="139" customFormat="1" ht="60" customHeight="1" x14ac:dyDescent="0.3">
      <c r="A19" s="28">
        <f t="shared" si="4"/>
        <v>7</v>
      </c>
      <c r="B19" s="220" t="s">
        <v>449</v>
      </c>
      <c r="C19" s="221"/>
      <c r="D19" s="28" t="s">
        <v>456</v>
      </c>
      <c r="E19" s="37">
        <v>1</v>
      </c>
      <c r="F19" s="190">
        <v>270</v>
      </c>
      <c r="G19" s="42">
        <f t="shared" si="0"/>
        <v>270</v>
      </c>
      <c r="H19" s="28"/>
      <c r="I19" s="7"/>
      <c r="J19" s="28"/>
      <c r="K19" s="28"/>
      <c r="L19" s="28">
        <v>50</v>
      </c>
      <c r="M19" s="28"/>
      <c r="N19" s="166">
        <f t="shared" si="1"/>
        <v>600</v>
      </c>
      <c r="O19" s="163">
        <f>4000*0.135</f>
        <v>540</v>
      </c>
      <c r="P19" s="179">
        <f t="shared" si="2"/>
        <v>540</v>
      </c>
      <c r="Q19" s="184">
        <f t="shared" si="3"/>
        <v>1482</v>
      </c>
      <c r="R19" s="163"/>
      <c r="S19" s="157">
        <v>1000</v>
      </c>
      <c r="T19" s="157">
        <v>600</v>
      </c>
      <c r="U19" s="157">
        <v>1</v>
      </c>
      <c r="V19" s="157"/>
    </row>
    <row r="20" spans="1:22" s="139" customFormat="1" ht="60" customHeight="1" x14ac:dyDescent="0.3">
      <c r="A20" s="28">
        <f t="shared" si="4"/>
        <v>8</v>
      </c>
      <c r="B20" s="220" t="s">
        <v>450</v>
      </c>
      <c r="C20" s="221"/>
      <c r="D20" s="28" t="s">
        <v>4</v>
      </c>
      <c r="E20" s="37">
        <v>1</v>
      </c>
      <c r="F20" s="190">
        <v>23000</v>
      </c>
      <c r="G20" s="42">
        <f t="shared" si="0"/>
        <v>23000</v>
      </c>
      <c r="H20" s="28"/>
      <c r="I20" s="7"/>
      <c r="J20" s="28"/>
      <c r="K20" s="28"/>
      <c r="L20" s="28">
        <v>12</v>
      </c>
      <c r="M20" s="28"/>
      <c r="N20" s="166">
        <f t="shared" si="1"/>
        <v>5100</v>
      </c>
      <c r="O20" s="163">
        <f>4000*0.25</f>
        <v>1000</v>
      </c>
      <c r="P20" s="179">
        <f t="shared" si="2"/>
        <v>1000</v>
      </c>
      <c r="Q20" s="184">
        <f t="shared" si="3"/>
        <v>7930</v>
      </c>
      <c r="R20" s="163"/>
      <c r="S20" s="164">
        <v>30</v>
      </c>
      <c r="T20" s="157">
        <v>5100</v>
      </c>
      <c r="U20" s="157">
        <v>1</v>
      </c>
      <c r="V20" s="157"/>
    </row>
    <row r="21" spans="1:22" s="139" customFormat="1" ht="60" customHeight="1" x14ac:dyDescent="0.3">
      <c r="A21" s="28">
        <f t="shared" si="4"/>
        <v>9</v>
      </c>
      <c r="B21" s="220" t="s">
        <v>424</v>
      </c>
      <c r="C21" s="221"/>
      <c r="D21" s="32" t="s">
        <v>4</v>
      </c>
      <c r="E21" s="37">
        <v>1</v>
      </c>
      <c r="F21" s="190">
        <f>SUM(G13:G20)*0.1</f>
        <v>9427</v>
      </c>
      <c r="G21" s="42">
        <f t="shared" si="0"/>
        <v>9427</v>
      </c>
      <c r="H21" s="28"/>
      <c r="I21" s="7"/>
      <c r="J21" s="28"/>
      <c r="K21" s="28"/>
      <c r="L21" s="28">
        <f>145*10</f>
        <v>1450</v>
      </c>
      <c r="M21" s="28"/>
      <c r="N21" s="166">
        <f t="shared" si="1"/>
        <v>4500</v>
      </c>
      <c r="O21" s="163">
        <f>4000*0.2</f>
        <v>800</v>
      </c>
      <c r="P21" s="179">
        <f t="shared" si="2"/>
        <v>800</v>
      </c>
      <c r="Q21" s="184">
        <f t="shared" si="3"/>
        <v>6890</v>
      </c>
      <c r="R21" s="163"/>
      <c r="S21" s="160">
        <v>10000</v>
      </c>
      <c r="T21" s="160">
        <v>4500</v>
      </c>
      <c r="U21" s="157">
        <v>1</v>
      </c>
      <c r="V21" s="160"/>
    </row>
    <row r="22" spans="1:22" s="139" customFormat="1" ht="60" customHeight="1" x14ac:dyDescent="0.3">
      <c r="A22" s="28">
        <f t="shared" si="4"/>
        <v>10</v>
      </c>
      <c r="B22" s="220" t="s">
        <v>594</v>
      </c>
      <c r="C22" s="221"/>
      <c r="D22" s="28" t="s">
        <v>11</v>
      </c>
      <c r="E22" s="37">
        <v>1</v>
      </c>
      <c r="F22" s="190">
        <v>-1000</v>
      </c>
      <c r="G22" s="190">
        <f t="shared" si="0"/>
        <v>-1000</v>
      </c>
      <c r="H22" s="28"/>
      <c r="I22" s="7"/>
      <c r="J22" s="28"/>
      <c r="K22" s="28"/>
      <c r="L22" s="28">
        <v>0.5</v>
      </c>
      <c r="M22" s="28">
        <v>0.5</v>
      </c>
      <c r="N22" s="166">
        <f t="shared" si="1"/>
        <v>15270</v>
      </c>
      <c r="O22" s="163"/>
      <c r="P22" s="179">
        <f t="shared" si="2"/>
        <v>0</v>
      </c>
      <c r="Q22" s="184">
        <f t="shared" si="3"/>
        <v>19851</v>
      </c>
      <c r="R22" s="163"/>
      <c r="S22" s="160">
        <v>18</v>
      </c>
      <c r="T22" s="160">
        <f>315*S22</f>
        <v>5670</v>
      </c>
      <c r="U22" s="160">
        <v>20</v>
      </c>
      <c r="V22" s="160">
        <f>480*U22</f>
        <v>9600</v>
      </c>
    </row>
    <row r="23" spans="1:22" s="145" customFormat="1" x14ac:dyDescent="0.3">
      <c r="A23" s="28"/>
      <c r="B23" s="215" t="s">
        <v>481</v>
      </c>
      <c r="C23" s="216"/>
      <c r="D23" s="28"/>
      <c r="E23" s="37"/>
      <c r="F23" s="190"/>
      <c r="G23" s="156">
        <f>SUM(G13:G22)</f>
        <v>102697</v>
      </c>
      <c r="H23" s="28"/>
      <c r="I23" s="7"/>
      <c r="J23" s="170"/>
      <c r="K23" s="170"/>
      <c r="L23" s="170"/>
      <c r="M23" s="170"/>
      <c r="N23" s="171"/>
      <c r="O23" s="171"/>
      <c r="P23" s="171"/>
      <c r="Q23" s="182"/>
      <c r="R23" s="171"/>
      <c r="S23" s="172"/>
      <c r="T23" s="172"/>
      <c r="U23" s="172"/>
      <c r="V23" s="172"/>
    </row>
    <row r="24" spans="1:22" s="145" customFormat="1" x14ac:dyDescent="0.3">
      <c r="A24" s="28"/>
      <c r="B24" s="215" t="s">
        <v>482</v>
      </c>
      <c r="C24" s="216"/>
      <c r="D24" s="28"/>
      <c r="E24" s="37"/>
      <c r="F24" s="190"/>
      <c r="G24" s="156">
        <f>G23*0.05</f>
        <v>5134.8500000000004</v>
      </c>
      <c r="H24" s="28"/>
      <c r="I24" s="7"/>
      <c r="J24" s="170"/>
      <c r="K24" s="170"/>
      <c r="L24" s="170"/>
      <c r="M24" s="170"/>
      <c r="N24" s="171"/>
      <c r="O24" s="171"/>
      <c r="P24" s="171"/>
      <c r="Q24" s="182"/>
      <c r="R24" s="171"/>
      <c r="S24" s="172"/>
      <c r="T24" s="172"/>
      <c r="U24" s="172"/>
      <c r="V24" s="172"/>
    </row>
    <row r="25" spans="1:22" ht="30" customHeight="1" x14ac:dyDescent="0.3">
      <c r="A25" s="28"/>
      <c r="B25" s="238" t="s">
        <v>16</v>
      </c>
      <c r="C25" s="239"/>
      <c r="D25" s="28"/>
      <c r="E25" s="68"/>
      <c r="F25" s="49"/>
      <c r="G25" s="155">
        <f>G23+G24</f>
        <v>107831.85</v>
      </c>
      <c r="H25" s="78"/>
      <c r="I25" s="159"/>
      <c r="J25" s="28"/>
      <c r="K25" s="28"/>
      <c r="L25" s="28"/>
      <c r="M25" s="28"/>
      <c r="N25" s="28"/>
      <c r="O25" s="43"/>
      <c r="P25" s="43"/>
      <c r="Q25" s="183"/>
      <c r="R25" s="43"/>
      <c r="S25" s="28"/>
      <c r="T25" s="28"/>
      <c r="U25" s="28"/>
      <c r="V25" s="28"/>
    </row>
    <row r="26" spans="1:22" x14ac:dyDescent="0.3">
      <c r="A26" s="228" t="s">
        <v>17</v>
      </c>
      <c r="B26" s="193">
        <f>ROW()-25</f>
        <v>1</v>
      </c>
      <c r="C26" s="230" t="s">
        <v>602</v>
      </c>
      <c r="D26" s="227"/>
      <c r="E26" s="227"/>
      <c r="F26" s="227"/>
      <c r="G26" s="227"/>
      <c r="H26" s="227"/>
      <c r="J26" s="43"/>
      <c r="K26" s="43"/>
      <c r="L26" s="43"/>
      <c r="M26" s="43"/>
      <c r="N26" s="43"/>
      <c r="O26" s="43"/>
      <c r="P26" s="43"/>
      <c r="Q26" s="183"/>
      <c r="R26" s="43"/>
      <c r="S26" s="28"/>
      <c r="T26" s="28"/>
      <c r="U26" s="28"/>
      <c r="V26" s="28"/>
    </row>
    <row r="27" spans="1:22" x14ac:dyDescent="0.3">
      <c r="A27" s="228"/>
      <c r="B27" s="193">
        <f t="shared" ref="B27:B31" si="5">ROW()-25</f>
        <v>2</v>
      </c>
      <c r="C27" s="227" t="s">
        <v>596</v>
      </c>
      <c r="D27" s="227"/>
      <c r="E27" s="227"/>
      <c r="F27" s="227"/>
      <c r="G27" s="227"/>
      <c r="H27" s="227"/>
      <c r="J27" s="77"/>
      <c r="K27" s="77"/>
      <c r="L27" s="77"/>
      <c r="M27" s="77"/>
      <c r="N27" s="43"/>
      <c r="O27" s="43"/>
      <c r="P27" s="43"/>
      <c r="Q27" s="183"/>
      <c r="R27" s="43"/>
      <c r="S27" s="28"/>
      <c r="T27" s="28"/>
      <c r="U27" s="28"/>
      <c r="V27" s="28"/>
    </row>
    <row r="28" spans="1:22" x14ac:dyDescent="0.3">
      <c r="A28" s="228"/>
      <c r="B28" s="193">
        <f t="shared" si="5"/>
        <v>3</v>
      </c>
      <c r="C28" s="227" t="s">
        <v>597</v>
      </c>
      <c r="D28" s="227"/>
      <c r="E28" s="227"/>
      <c r="F28" s="227"/>
      <c r="G28" s="227"/>
      <c r="H28" s="227"/>
      <c r="J28" s="43"/>
      <c r="K28" s="43"/>
      <c r="L28" s="43"/>
      <c r="M28" s="43"/>
      <c r="N28" s="43"/>
      <c r="O28" s="43"/>
      <c r="P28" s="43"/>
      <c r="Q28" s="183"/>
      <c r="R28" s="43"/>
      <c r="S28" s="28"/>
      <c r="T28" s="28"/>
      <c r="U28" s="28"/>
      <c r="V28" s="28"/>
    </row>
    <row r="29" spans="1:22" x14ac:dyDescent="0.3">
      <c r="A29" s="228"/>
      <c r="B29" s="193">
        <f t="shared" si="5"/>
        <v>4</v>
      </c>
      <c r="C29" s="233" t="s">
        <v>662</v>
      </c>
      <c r="D29" s="234"/>
      <c r="E29" s="234"/>
      <c r="F29" s="234"/>
      <c r="G29" s="234"/>
      <c r="H29" s="235"/>
      <c r="J29" s="43"/>
      <c r="K29" s="43"/>
      <c r="L29" s="43"/>
      <c r="M29" s="43"/>
      <c r="N29" s="43"/>
      <c r="O29" s="43"/>
      <c r="P29" s="43"/>
      <c r="Q29" s="183"/>
      <c r="R29" s="43"/>
      <c r="S29" s="28"/>
      <c r="T29" s="28"/>
      <c r="U29" s="28"/>
      <c r="V29" s="28"/>
    </row>
    <row r="30" spans="1:22" x14ac:dyDescent="0.3">
      <c r="A30" s="228"/>
      <c r="B30" s="193">
        <f t="shared" si="5"/>
        <v>5</v>
      </c>
      <c r="C30" s="227" t="s">
        <v>598</v>
      </c>
      <c r="D30" s="227"/>
      <c r="E30" s="227"/>
      <c r="F30" s="227"/>
      <c r="G30" s="227"/>
      <c r="H30" s="227"/>
      <c r="J30" s="43"/>
      <c r="K30" s="43"/>
      <c r="L30" s="43"/>
      <c r="M30" s="43"/>
      <c r="N30" s="43"/>
      <c r="O30" s="43"/>
      <c r="P30" s="43"/>
      <c r="Q30" s="183"/>
      <c r="R30" s="43"/>
      <c r="S30" s="28"/>
      <c r="T30" s="28"/>
      <c r="U30" s="28"/>
      <c r="V30" s="28"/>
    </row>
    <row r="31" spans="1:22" x14ac:dyDescent="0.3">
      <c r="A31" s="229"/>
      <c r="B31" s="193">
        <f t="shared" si="5"/>
        <v>6</v>
      </c>
      <c r="C31" s="227" t="s">
        <v>599</v>
      </c>
      <c r="D31" s="227"/>
      <c r="E31" s="227"/>
      <c r="F31" s="227"/>
      <c r="G31" s="227"/>
      <c r="H31" s="227"/>
      <c r="J31" s="43"/>
      <c r="K31" s="43"/>
      <c r="L31" s="43"/>
      <c r="M31" s="43"/>
      <c r="N31" s="43"/>
      <c r="O31" s="43"/>
      <c r="P31" s="43"/>
      <c r="Q31" s="183"/>
      <c r="R31" s="43"/>
      <c r="S31" s="28"/>
      <c r="T31" s="28"/>
      <c r="U31" s="28"/>
      <c r="V31" s="28"/>
    </row>
    <row r="32" spans="1:22" x14ac:dyDescent="0.3">
      <c r="A32" s="17" t="s">
        <v>49</v>
      </c>
      <c r="B32" s="3"/>
      <c r="H32" s="20"/>
      <c r="J32" s="43"/>
      <c r="K32" s="43"/>
      <c r="L32" s="43"/>
      <c r="M32" s="43"/>
      <c r="N32" s="43"/>
      <c r="O32" s="43"/>
      <c r="P32" s="43"/>
      <c r="Q32" s="183"/>
      <c r="R32" s="43"/>
      <c r="S32" s="28"/>
      <c r="T32" s="28"/>
      <c r="U32" s="28"/>
      <c r="V32" s="28"/>
    </row>
    <row r="33" spans="1:22" x14ac:dyDescent="0.3">
      <c r="A33" s="17" t="s">
        <v>535</v>
      </c>
      <c r="B33" s="3"/>
      <c r="H33" s="20"/>
      <c r="J33" s="43"/>
      <c r="K33" s="43"/>
      <c r="L33" s="43"/>
      <c r="M33" s="43"/>
      <c r="N33" s="43"/>
      <c r="O33" s="43"/>
      <c r="P33" s="43"/>
      <c r="Q33" s="183"/>
      <c r="R33" s="43"/>
      <c r="S33" s="28"/>
      <c r="T33" s="28"/>
      <c r="U33" s="28"/>
      <c r="V33" s="28"/>
    </row>
    <row r="34" spans="1:22" x14ac:dyDescent="0.3">
      <c r="A34" s="154" t="s">
        <v>250</v>
      </c>
      <c r="B34" s="192"/>
      <c r="C34" s="24"/>
      <c r="D34" s="24"/>
      <c r="E34" s="84"/>
      <c r="F34" s="85"/>
      <c r="G34" s="86"/>
      <c r="H34" s="87"/>
      <c r="J34" s="43"/>
      <c r="K34" s="43"/>
      <c r="L34" s="43"/>
      <c r="M34" s="43"/>
      <c r="N34" s="43"/>
      <c r="O34" s="43"/>
      <c r="P34" s="43"/>
      <c r="Q34" s="183"/>
      <c r="R34" s="43"/>
      <c r="S34" s="28"/>
      <c r="T34" s="28"/>
      <c r="U34" s="28"/>
      <c r="V34" s="28"/>
    </row>
  </sheetData>
  <mergeCells count="23">
    <mergeCell ref="B24:C24"/>
    <mergeCell ref="B25:C25"/>
    <mergeCell ref="A26:A31"/>
    <mergeCell ref="C26:H26"/>
    <mergeCell ref="C27:H27"/>
    <mergeCell ref="C28:H28"/>
    <mergeCell ref="C29:H29"/>
    <mergeCell ref="C30:H30"/>
    <mergeCell ref="C31:H31"/>
    <mergeCell ref="B22:C22"/>
    <mergeCell ref="B23:C23"/>
    <mergeCell ref="B16:C16"/>
    <mergeCell ref="B17:C17"/>
    <mergeCell ref="B18:C18"/>
    <mergeCell ref="B19:C19"/>
    <mergeCell ref="B20:C20"/>
    <mergeCell ref="B21:C21"/>
    <mergeCell ref="B15:C15"/>
    <mergeCell ref="A1:H1"/>
    <mergeCell ref="G3:H3"/>
    <mergeCell ref="B12:C12"/>
    <mergeCell ref="B13:C13"/>
    <mergeCell ref="B14:C14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3" fitToHeight="0" orientation="portrait" horizontalDpi="300" verticalDpi="300" r:id="rId1"/>
  <headerFooter alignWithMargins="0">
    <oddFooter>&amp;C&amp;P/&amp;N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D720-90DC-2240-85CA-FFB23D77DC6A}">
  <sheetPr>
    <tabColor theme="9" tint="0.79998168889431442"/>
    <pageSetUpPr fitToPage="1"/>
  </sheetPr>
  <dimension ref="A1:V40"/>
  <sheetViews>
    <sheetView showGridLines="0" view="pageBreakPreview" zoomScaleNormal="70" zoomScaleSheetLayoutView="70" zoomScalePageLayoutView="85" workbookViewId="0">
      <selection activeCell="B20" sqref="B20:C20"/>
    </sheetView>
  </sheetViews>
  <sheetFormatPr defaultColWidth="9" defaultRowHeight="17.399999999999999" x14ac:dyDescent="0.3"/>
  <cols>
    <col min="1" max="1" width="5.6640625" style="7" customWidth="1"/>
    <col min="2" max="2" width="4.33203125" style="7" bestFit="1" customWidth="1"/>
    <col min="3" max="3" width="59.6640625" style="4" customWidth="1"/>
    <col min="4" max="4" width="8.44140625" style="4" customWidth="1"/>
    <col min="5" max="5" width="11" style="69" bestFit="1" customWidth="1"/>
    <col min="6" max="6" width="1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6640625" style="4" bestFit="1" customWidth="1"/>
    <col min="12" max="13" width="20" style="4" bestFit="1" customWidth="1"/>
    <col min="14" max="14" width="15.33203125" style="4" bestFit="1" customWidth="1"/>
    <col min="15" max="15" width="17.6640625" style="4" bestFit="1" customWidth="1"/>
    <col min="16" max="16" width="14.6640625" style="4" bestFit="1" customWidth="1"/>
    <col min="17" max="17" width="16.33203125" style="181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6"/>
      <c r="G3" s="223"/>
      <c r="H3" s="224"/>
      <c r="I3" s="73"/>
    </row>
    <row r="4" spans="1:22" x14ac:dyDescent="0.3">
      <c r="A4" s="17"/>
      <c r="B4" s="3"/>
      <c r="D4" s="7"/>
      <c r="E4" s="72"/>
      <c r="F4" s="19"/>
      <c r="G4" s="19"/>
      <c r="H4" s="20"/>
    </row>
    <row r="5" spans="1:22" x14ac:dyDescent="0.3">
      <c r="A5" s="17"/>
      <c r="B5" s="3"/>
      <c r="D5" s="7"/>
      <c r="E5" s="72"/>
      <c r="F5" s="19"/>
      <c r="G5" s="73"/>
      <c r="H5" s="74"/>
      <c r="I5" s="73"/>
    </row>
    <row r="6" spans="1:22" x14ac:dyDescent="0.3">
      <c r="A6" s="17"/>
      <c r="B6" s="3"/>
      <c r="D6" s="7"/>
      <c r="E6" s="72"/>
      <c r="G6" s="73"/>
      <c r="H6" s="74"/>
      <c r="I6" s="73"/>
    </row>
    <row r="7" spans="1:22" x14ac:dyDescent="0.3">
      <c r="A7" s="17"/>
      <c r="B7" s="3"/>
      <c r="D7" s="7"/>
      <c r="E7" s="72"/>
      <c r="F7" s="19" t="s">
        <v>21</v>
      </c>
      <c r="G7" s="73"/>
      <c r="H7" s="74"/>
      <c r="I7" s="73"/>
    </row>
    <row r="8" spans="1:22" x14ac:dyDescent="0.3">
      <c r="A8" s="17"/>
      <c r="B8" s="3"/>
      <c r="D8" s="7"/>
      <c r="E8" s="72"/>
      <c r="F8" s="19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22" t="s">
        <v>25</v>
      </c>
      <c r="G10" s="73"/>
      <c r="H10" s="74"/>
      <c r="I10" s="73"/>
    </row>
    <row r="11" spans="1:22" ht="22.2" customHeight="1" x14ac:dyDescent="0.3">
      <c r="A11" s="23" t="s">
        <v>26</v>
      </c>
      <c r="B11" s="24"/>
      <c r="C11" s="24"/>
      <c r="D11" s="25"/>
      <c r="E11" s="62"/>
      <c r="F11" s="19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180" t="s">
        <v>558</v>
      </c>
      <c r="R12" s="161">
        <v>1.3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s="139" customFormat="1" ht="60" customHeight="1" x14ac:dyDescent="0.3">
      <c r="A13" s="28">
        <f>ROW()-12</f>
        <v>1</v>
      </c>
      <c r="B13" s="220" t="s">
        <v>434</v>
      </c>
      <c r="C13" s="221"/>
      <c r="D13" s="28" t="s">
        <v>4</v>
      </c>
      <c r="E13" s="37">
        <v>1</v>
      </c>
      <c r="F13" s="94">
        <v>25000</v>
      </c>
      <c r="G13" s="42">
        <f>E13*F13</f>
        <v>25000</v>
      </c>
      <c r="H13" s="28" t="s">
        <v>566</v>
      </c>
      <c r="I13" s="7"/>
      <c r="J13" s="28"/>
      <c r="K13" s="28">
        <f>0.01*500+20</f>
        <v>25</v>
      </c>
      <c r="L13" s="28"/>
      <c r="M13" s="28"/>
      <c r="N13" s="166">
        <f t="shared" ref="N13:N17" si="0">ROUND(E13*L13/S13,1)*T13+ROUND(E13*M13/U13,1)*V13</f>
        <v>0</v>
      </c>
      <c r="O13" s="163">
        <f>4000*0.02</f>
        <v>80</v>
      </c>
      <c r="P13" s="179">
        <f t="shared" ref="P13:P26" si="1">E13*O13</f>
        <v>80</v>
      </c>
      <c r="Q13" s="180">
        <f t="shared" ref="Q13:Q26" si="2">(K13+(N13+P13))*$R$12</f>
        <v>136.5</v>
      </c>
      <c r="R13" s="163"/>
      <c r="S13" s="157">
        <v>1</v>
      </c>
      <c r="T13" s="157"/>
      <c r="U13" s="157">
        <v>1</v>
      </c>
      <c r="V13" s="157"/>
    </row>
    <row r="14" spans="1:22" s="139" customFormat="1" ht="60" customHeight="1" x14ac:dyDescent="0.3">
      <c r="A14" s="28">
        <f t="shared" ref="A14:A26" si="3">ROW()-12</f>
        <v>2</v>
      </c>
      <c r="B14" s="220" t="s">
        <v>603</v>
      </c>
      <c r="C14" s="221"/>
      <c r="D14" s="28" t="s">
        <v>252</v>
      </c>
      <c r="E14" s="37">
        <v>100</v>
      </c>
      <c r="F14" s="94">
        <v>400</v>
      </c>
      <c r="G14" s="42">
        <f t="shared" ref="G14:G25" si="4">E14*F14</f>
        <v>40000</v>
      </c>
      <c r="H14" s="28" t="s">
        <v>566</v>
      </c>
      <c r="I14" s="7"/>
      <c r="J14" s="28">
        <f t="shared" ref="J14:J26" si="5">ROUNDUP(E14*L14/S14,0)</f>
        <v>0</v>
      </c>
      <c r="K14" s="28"/>
      <c r="L14" s="28"/>
      <c r="M14" s="28"/>
      <c r="N14" s="166">
        <f t="shared" si="0"/>
        <v>0</v>
      </c>
      <c r="O14" s="163">
        <v>250</v>
      </c>
      <c r="P14" s="179">
        <f>E14*O14</f>
        <v>25000</v>
      </c>
      <c r="Q14" s="180">
        <f t="shared" si="2"/>
        <v>32500</v>
      </c>
      <c r="R14" s="163"/>
      <c r="S14" s="157">
        <v>1</v>
      </c>
      <c r="T14" s="157"/>
      <c r="U14" s="157">
        <v>1</v>
      </c>
      <c r="V14" s="157"/>
    </row>
    <row r="15" spans="1:22" s="139" customFormat="1" ht="60" customHeight="1" x14ac:dyDescent="0.3">
      <c r="A15" s="28">
        <f t="shared" si="3"/>
        <v>3</v>
      </c>
      <c r="B15" s="220" t="s">
        <v>435</v>
      </c>
      <c r="C15" s="221"/>
      <c r="D15" s="28" t="s">
        <v>252</v>
      </c>
      <c r="E15" s="37">
        <v>130</v>
      </c>
      <c r="F15" s="94">
        <v>130</v>
      </c>
      <c r="G15" s="42">
        <f t="shared" si="4"/>
        <v>16900</v>
      </c>
      <c r="H15" s="28"/>
      <c r="I15" s="7"/>
      <c r="J15" s="28">
        <f t="shared" si="5"/>
        <v>0</v>
      </c>
      <c r="K15" s="28">
        <v>10</v>
      </c>
      <c r="L15" s="157"/>
      <c r="M15" s="157"/>
      <c r="N15" s="166">
        <f t="shared" si="0"/>
        <v>0</v>
      </c>
      <c r="O15" s="163">
        <v>100</v>
      </c>
      <c r="P15" s="179">
        <f t="shared" si="1"/>
        <v>13000</v>
      </c>
      <c r="Q15" s="180">
        <f t="shared" si="2"/>
        <v>16913</v>
      </c>
      <c r="R15" s="157"/>
      <c r="S15" s="157">
        <v>30</v>
      </c>
      <c r="T15" s="157"/>
      <c r="U15" s="157">
        <v>1</v>
      </c>
      <c r="V15" s="157"/>
    </row>
    <row r="16" spans="1:22" s="139" customFormat="1" ht="60" customHeight="1" x14ac:dyDescent="0.3">
      <c r="A16" s="28">
        <f t="shared" si="3"/>
        <v>4</v>
      </c>
      <c r="B16" s="220" t="s">
        <v>604</v>
      </c>
      <c r="C16" s="221"/>
      <c r="D16" s="28" t="s">
        <v>252</v>
      </c>
      <c r="E16" s="37">
        <v>100</v>
      </c>
      <c r="F16" s="94">
        <v>550</v>
      </c>
      <c r="G16" s="42">
        <f t="shared" si="4"/>
        <v>55000</v>
      </c>
      <c r="H16" s="28"/>
      <c r="I16" s="7"/>
      <c r="J16" s="28">
        <f>ROUNDUP(E16*L16/S16,0)</f>
        <v>14</v>
      </c>
      <c r="K16" s="28"/>
      <c r="L16" s="28">
        <v>4</v>
      </c>
      <c r="M16" s="28"/>
      <c r="N16" s="166">
        <f t="shared" si="0"/>
        <v>5985</v>
      </c>
      <c r="O16" s="163">
        <v>350</v>
      </c>
      <c r="P16" s="179">
        <f t="shared" si="1"/>
        <v>35000</v>
      </c>
      <c r="Q16" s="180">
        <f t="shared" si="2"/>
        <v>53280.5</v>
      </c>
      <c r="R16" s="163"/>
      <c r="S16" s="157">
        <v>30</v>
      </c>
      <c r="T16" s="157">
        <v>450</v>
      </c>
      <c r="U16" s="157">
        <v>1</v>
      </c>
      <c r="V16" s="157"/>
    </row>
    <row r="17" spans="1:22" s="139" customFormat="1" ht="60" customHeight="1" x14ac:dyDescent="0.3">
      <c r="A17" s="28">
        <f t="shared" si="3"/>
        <v>5</v>
      </c>
      <c r="B17" s="231" t="s">
        <v>436</v>
      </c>
      <c r="C17" s="232"/>
      <c r="D17" s="28" t="s">
        <v>252</v>
      </c>
      <c r="E17" s="37">
        <v>100</v>
      </c>
      <c r="F17" s="94">
        <v>130</v>
      </c>
      <c r="G17" s="42">
        <f t="shared" si="4"/>
        <v>13000</v>
      </c>
      <c r="H17" s="28"/>
      <c r="I17" s="7"/>
      <c r="J17" s="28"/>
      <c r="K17" s="28">
        <v>20</v>
      </c>
      <c r="L17" s="28">
        <v>1</v>
      </c>
      <c r="M17" s="28"/>
      <c r="N17" s="166">
        <f t="shared" si="0"/>
        <v>0</v>
      </c>
      <c r="O17" s="163">
        <v>100</v>
      </c>
      <c r="P17" s="179">
        <f t="shared" si="1"/>
        <v>10000</v>
      </c>
      <c r="Q17" s="180">
        <f t="shared" si="2"/>
        <v>13026</v>
      </c>
      <c r="R17" s="163"/>
      <c r="S17" s="160">
        <v>30</v>
      </c>
      <c r="T17" s="160"/>
      <c r="U17" s="157">
        <v>1</v>
      </c>
      <c r="V17" s="160"/>
    </row>
    <row r="18" spans="1:22" s="139" customFormat="1" ht="60" customHeight="1" x14ac:dyDescent="0.3">
      <c r="A18" s="28">
        <f t="shared" si="3"/>
        <v>6</v>
      </c>
      <c r="B18" s="220" t="s">
        <v>679</v>
      </c>
      <c r="C18" s="221"/>
      <c r="D18" s="28" t="s">
        <v>252</v>
      </c>
      <c r="E18" s="37">
        <v>100</v>
      </c>
      <c r="F18" s="94">
        <v>350</v>
      </c>
      <c r="G18" s="42">
        <f>E18*F18</f>
        <v>35000</v>
      </c>
      <c r="H18" s="28"/>
      <c r="I18" s="7"/>
      <c r="J18" s="28">
        <f t="shared" si="5"/>
        <v>4</v>
      </c>
      <c r="K18" s="28"/>
      <c r="L18" s="28">
        <v>0.5</v>
      </c>
      <c r="M18" s="28"/>
      <c r="N18" s="166">
        <f>ROUND(E18*L18/S18,1)*T18+ROUND(E18*M18/U18,1)*V18</f>
        <v>18600</v>
      </c>
      <c r="O18" s="163">
        <v>80</v>
      </c>
      <c r="P18" s="179">
        <f>E18*O18</f>
        <v>8000</v>
      </c>
      <c r="Q18" s="180">
        <f>(K18+(N18+P18))*$R$12</f>
        <v>34580</v>
      </c>
      <c r="R18" s="163"/>
      <c r="S18" s="157">
        <v>16</v>
      </c>
      <c r="T18" s="157">
        <v>6000</v>
      </c>
      <c r="U18" s="157">
        <v>1</v>
      </c>
      <c r="V18" s="157"/>
    </row>
    <row r="19" spans="1:22" s="139" customFormat="1" ht="60" customHeight="1" x14ac:dyDescent="0.3">
      <c r="A19" s="28">
        <f t="shared" si="3"/>
        <v>7</v>
      </c>
      <c r="B19" s="220" t="s">
        <v>437</v>
      </c>
      <c r="C19" s="221"/>
      <c r="D19" s="28" t="s">
        <v>7</v>
      </c>
      <c r="E19" s="37">
        <v>30</v>
      </c>
      <c r="F19" s="94">
        <v>200</v>
      </c>
      <c r="G19" s="42">
        <f>E19*F19</f>
        <v>6000</v>
      </c>
      <c r="H19" s="28"/>
      <c r="I19" s="7"/>
      <c r="J19" s="28">
        <f t="shared" si="5"/>
        <v>8</v>
      </c>
      <c r="K19" s="28"/>
      <c r="L19" s="28">
        <v>145</v>
      </c>
      <c r="M19" s="28"/>
      <c r="N19" s="166">
        <f t="shared" ref="N19:N26" si="6">ROUND(E19*L19/S19,1)*T19+ROUND(E19*M19/U19,1)*V19</f>
        <v>1500</v>
      </c>
      <c r="O19" s="163">
        <v>100</v>
      </c>
      <c r="P19" s="179">
        <f>E19*O19</f>
        <v>3000</v>
      </c>
      <c r="Q19" s="180">
        <f>(K19+(N19+P19))*$R$12</f>
        <v>5850</v>
      </c>
      <c r="R19" s="163"/>
      <c r="S19" s="160">
        <v>580</v>
      </c>
      <c r="T19" s="160">
        <v>200</v>
      </c>
      <c r="U19" s="157">
        <v>1</v>
      </c>
      <c r="V19" s="160"/>
    </row>
    <row r="20" spans="1:22" s="139" customFormat="1" ht="60" customHeight="1" x14ac:dyDescent="0.3">
      <c r="A20" s="28">
        <f t="shared" si="3"/>
        <v>8</v>
      </c>
      <c r="B20" s="231" t="s">
        <v>699</v>
      </c>
      <c r="C20" s="232"/>
      <c r="D20" s="28" t="s">
        <v>252</v>
      </c>
      <c r="E20" s="37">
        <v>100</v>
      </c>
      <c r="F20" s="94">
        <v>850</v>
      </c>
      <c r="G20" s="42">
        <f t="shared" si="4"/>
        <v>85000</v>
      </c>
      <c r="H20" s="28"/>
      <c r="I20" s="7"/>
      <c r="J20" s="28">
        <f t="shared" si="5"/>
        <v>18</v>
      </c>
      <c r="K20" s="28"/>
      <c r="L20" s="28">
        <v>3.5</v>
      </c>
      <c r="M20" s="28"/>
      <c r="N20" s="166">
        <f t="shared" si="6"/>
        <v>35000</v>
      </c>
      <c r="O20" s="163">
        <v>300</v>
      </c>
      <c r="P20" s="179">
        <f t="shared" si="1"/>
        <v>30000</v>
      </c>
      <c r="Q20" s="180">
        <f t="shared" si="2"/>
        <v>84500</v>
      </c>
      <c r="R20" s="163"/>
      <c r="S20" s="157">
        <v>20</v>
      </c>
      <c r="T20" s="157">
        <v>2000</v>
      </c>
      <c r="U20" s="157">
        <v>1</v>
      </c>
      <c r="V20" s="157"/>
    </row>
    <row r="21" spans="1:22" s="139" customFormat="1" ht="60" customHeight="1" x14ac:dyDescent="0.3">
      <c r="A21" s="28">
        <f t="shared" si="3"/>
        <v>9</v>
      </c>
      <c r="B21" s="220" t="s">
        <v>605</v>
      </c>
      <c r="C21" s="221"/>
      <c r="D21" s="28" t="s">
        <v>252</v>
      </c>
      <c r="E21" s="37">
        <v>100</v>
      </c>
      <c r="F21" s="94">
        <v>520</v>
      </c>
      <c r="G21" s="42">
        <f t="shared" si="4"/>
        <v>52000</v>
      </c>
      <c r="H21" s="28"/>
      <c r="I21" s="7"/>
      <c r="J21" s="28">
        <f t="shared" si="5"/>
        <v>2</v>
      </c>
      <c r="K21" s="28"/>
      <c r="L21" s="28">
        <v>1</v>
      </c>
      <c r="M21" s="28">
        <v>0.02</v>
      </c>
      <c r="N21" s="166">
        <f t="shared" si="6"/>
        <v>30000</v>
      </c>
      <c r="O21" s="163">
        <v>100</v>
      </c>
      <c r="P21" s="179">
        <f t="shared" si="1"/>
        <v>10000</v>
      </c>
      <c r="Q21" s="180">
        <f t="shared" si="2"/>
        <v>52000</v>
      </c>
      <c r="R21" s="163"/>
      <c r="S21" s="164">
        <v>50</v>
      </c>
      <c r="T21" s="157">
        <v>14000</v>
      </c>
      <c r="U21" s="157">
        <v>1</v>
      </c>
      <c r="V21" s="157">
        <v>1000</v>
      </c>
    </row>
    <row r="22" spans="1:22" s="139" customFormat="1" ht="60" customHeight="1" x14ac:dyDescent="0.3">
      <c r="A22" s="28">
        <f t="shared" si="3"/>
        <v>10</v>
      </c>
      <c r="B22" s="220" t="s">
        <v>678</v>
      </c>
      <c r="C22" s="221"/>
      <c r="D22" s="28" t="s">
        <v>252</v>
      </c>
      <c r="E22" s="37">
        <v>130</v>
      </c>
      <c r="F22" s="94">
        <v>580</v>
      </c>
      <c r="G22" s="42">
        <f t="shared" si="4"/>
        <v>75400</v>
      </c>
      <c r="H22" s="28"/>
      <c r="I22" s="7"/>
      <c r="J22" s="28">
        <f t="shared" si="5"/>
        <v>8</v>
      </c>
      <c r="K22" s="28"/>
      <c r="L22" s="28">
        <v>1.2</v>
      </c>
      <c r="M22" s="28"/>
      <c r="N22" s="166">
        <f t="shared" si="6"/>
        <v>18720</v>
      </c>
      <c r="O22" s="163">
        <v>300</v>
      </c>
      <c r="P22" s="179">
        <f t="shared" si="1"/>
        <v>39000</v>
      </c>
      <c r="Q22" s="180">
        <f t="shared" si="2"/>
        <v>75036</v>
      </c>
      <c r="R22" s="163"/>
      <c r="S22" s="160">
        <v>20</v>
      </c>
      <c r="T22" s="160">
        <v>2400</v>
      </c>
      <c r="U22" s="160">
        <v>1</v>
      </c>
      <c r="V22" s="160"/>
    </row>
    <row r="23" spans="1:22" s="139" customFormat="1" ht="60" customHeight="1" x14ac:dyDescent="0.3">
      <c r="A23" s="28">
        <f t="shared" si="3"/>
        <v>11</v>
      </c>
      <c r="B23" s="220" t="s">
        <v>438</v>
      </c>
      <c r="C23" s="221"/>
      <c r="D23" s="28" t="s">
        <v>13</v>
      </c>
      <c r="E23" s="37">
        <v>3</v>
      </c>
      <c r="F23" s="94">
        <v>1300</v>
      </c>
      <c r="G23" s="42">
        <f t="shared" si="4"/>
        <v>3900</v>
      </c>
      <c r="H23" s="28"/>
      <c r="I23" s="7"/>
      <c r="J23" s="28">
        <f t="shared" si="5"/>
        <v>3</v>
      </c>
      <c r="K23" s="28"/>
      <c r="L23" s="28">
        <v>1</v>
      </c>
      <c r="M23" s="28"/>
      <c r="N23" s="166">
        <f t="shared" si="6"/>
        <v>3000</v>
      </c>
      <c r="O23" s="163"/>
      <c r="P23" s="179">
        <f t="shared" si="1"/>
        <v>0</v>
      </c>
      <c r="Q23" s="180">
        <f t="shared" si="2"/>
        <v>3900</v>
      </c>
      <c r="R23" s="163"/>
      <c r="S23" s="160">
        <v>1</v>
      </c>
      <c r="T23" s="160">
        <v>1000</v>
      </c>
      <c r="U23" s="160">
        <v>1</v>
      </c>
      <c r="V23" s="160"/>
    </row>
    <row r="24" spans="1:22" s="139" customFormat="1" ht="60" customHeight="1" x14ac:dyDescent="0.3">
      <c r="A24" s="28">
        <f t="shared" si="3"/>
        <v>12</v>
      </c>
      <c r="B24" s="220" t="s">
        <v>439</v>
      </c>
      <c r="C24" s="221"/>
      <c r="D24" s="28" t="s">
        <v>4</v>
      </c>
      <c r="E24" s="37">
        <v>1</v>
      </c>
      <c r="F24" s="94">
        <v>5000</v>
      </c>
      <c r="G24" s="42">
        <f t="shared" si="4"/>
        <v>5000</v>
      </c>
      <c r="H24" s="28"/>
      <c r="I24" s="7"/>
      <c r="J24" s="28">
        <f t="shared" si="5"/>
        <v>1</v>
      </c>
      <c r="K24" s="28"/>
      <c r="L24" s="28">
        <v>0.5</v>
      </c>
      <c r="M24" s="28"/>
      <c r="N24" s="166">
        <f t="shared" si="6"/>
        <v>0</v>
      </c>
      <c r="O24" s="163"/>
      <c r="P24" s="179">
        <f t="shared" ref="P24" si="7">E24*O24</f>
        <v>0</v>
      </c>
      <c r="Q24" s="180">
        <f t="shared" si="2"/>
        <v>0</v>
      </c>
      <c r="R24" s="163"/>
      <c r="S24" s="160">
        <v>20</v>
      </c>
      <c r="T24" s="160">
        <f>480*S24</f>
        <v>9600</v>
      </c>
      <c r="U24" s="160">
        <v>1</v>
      </c>
      <c r="V24" s="160"/>
    </row>
    <row r="25" spans="1:22" s="139" customFormat="1" ht="60" customHeight="1" x14ac:dyDescent="0.3">
      <c r="A25" s="28">
        <f t="shared" si="3"/>
        <v>13</v>
      </c>
      <c r="B25" s="220" t="s">
        <v>424</v>
      </c>
      <c r="C25" s="221"/>
      <c r="D25" s="28" t="s">
        <v>4</v>
      </c>
      <c r="E25" s="37">
        <v>1</v>
      </c>
      <c r="F25" s="94">
        <f>SUM(G13:G24)*0.1</f>
        <v>41220</v>
      </c>
      <c r="G25" s="42">
        <f t="shared" si="4"/>
        <v>41220</v>
      </c>
      <c r="H25" s="28"/>
      <c r="I25" s="7"/>
      <c r="J25" s="28">
        <f t="shared" si="5"/>
        <v>1</v>
      </c>
      <c r="K25" s="28"/>
      <c r="L25" s="28">
        <v>0.14499999999999999</v>
      </c>
      <c r="M25" s="28"/>
      <c r="N25" s="166">
        <f t="shared" si="6"/>
        <v>0</v>
      </c>
      <c r="O25" s="163"/>
      <c r="P25" s="179">
        <f t="shared" si="1"/>
        <v>0</v>
      </c>
      <c r="Q25" s="180">
        <f t="shared" si="2"/>
        <v>0</v>
      </c>
      <c r="R25" s="163"/>
      <c r="S25" s="160">
        <v>10</v>
      </c>
      <c r="T25" s="160">
        <f>450*10</f>
        <v>4500</v>
      </c>
      <c r="U25" s="160">
        <v>1</v>
      </c>
      <c r="V25" s="160"/>
    </row>
    <row r="26" spans="1:22" s="139" customFormat="1" ht="60" customHeight="1" x14ac:dyDescent="0.3">
      <c r="A26" s="28">
        <f t="shared" si="3"/>
        <v>14</v>
      </c>
      <c r="B26" s="220" t="s">
        <v>594</v>
      </c>
      <c r="C26" s="221"/>
      <c r="D26" s="28" t="s">
        <v>11</v>
      </c>
      <c r="E26" s="37">
        <v>1</v>
      </c>
      <c r="F26" s="190">
        <v>-1000</v>
      </c>
      <c r="G26" s="190">
        <f t="shared" ref="G26" si="8">E26*F26</f>
        <v>-1000</v>
      </c>
      <c r="H26" s="28"/>
      <c r="I26" s="7"/>
      <c r="J26" s="28">
        <f t="shared" si="5"/>
        <v>1</v>
      </c>
      <c r="K26" s="28"/>
      <c r="L26" s="28">
        <v>150</v>
      </c>
      <c r="M26" s="28"/>
      <c r="N26" s="166">
        <f t="shared" si="6"/>
        <v>30</v>
      </c>
      <c r="O26" s="163"/>
      <c r="P26" s="179">
        <f t="shared" si="1"/>
        <v>0</v>
      </c>
      <c r="Q26" s="180">
        <f t="shared" si="2"/>
        <v>39</v>
      </c>
      <c r="R26" s="163"/>
      <c r="S26" s="157">
        <v>750</v>
      </c>
      <c r="T26" s="165">
        <v>150</v>
      </c>
      <c r="U26" s="160">
        <v>1</v>
      </c>
      <c r="V26" s="165"/>
    </row>
    <row r="27" spans="1:22" s="145" customFormat="1" x14ac:dyDescent="0.3">
      <c r="A27" s="28"/>
      <c r="B27" s="215" t="s">
        <v>16</v>
      </c>
      <c r="C27" s="216"/>
      <c r="D27" s="28"/>
      <c r="E27" s="37"/>
      <c r="F27" s="94"/>
      <c r="G27" s="156">
        <f>SUM(G13:G26)</f>
        <v>452420</v>
      </c>
      <c r="H27" s="28"/>
      <c r="I27" s="7"/>
      <c r="J27" s="170"/>
      <c r="K27" s="170"/>
      <c r="L27" s="170"/>
      <c r="M27" s="170"/>
      <c r="N27" s="171"/>
      <c r="O27" s="171"/>
      <c r="P27" s="171"/>
      <c r="Q27" s="182"/>
      <c r="R27" s="171"/>
      <c r="S27" s="172"/>
      <c r="T27" s="172"/>
      <c r="U27" s="172"/>
      <c r="V27" s="172"/>
    </row>
    <row r="28" spans="1:22" x14ac:dyDescent="0.3">
      <c r="A28" s="228" t="s">
        <v>17</v>
      </c>
      <c r="B28" s="193">
        <f>ROW()-27</f>
        <v>1</v>
      </c>
      <c r="C28" s="230" t="s">
        <v>602</v>
      </c>
      <c r="D28" s="227"/>
      <c r="E28" s="227"/>
      <c r="F28" s="227"/>
      <c r="G28" s="227"/>
      <c r="H28" s="227"/>
      <c r="J28" s="43"/>
      <c r="K28" s="43"/>
      <c r="L28" s="43"/>
      <c r="M28" s="43"/>
      <c r="N28" s="43"/>
      <c r="O28" s="43"/>
      <c r="P28" s="43"/>
      <c r="Q28" s="183"/>
      <c r="R28" s="43"/>
      <c r="S28" s="28"/>
      <c r="T28" s="28"/>
      <c r="U28" s="28"/>
      <c r="V28" s="28"/>
    </row>
    <row r="29" spans="1:22" x14ac:dyDescent="0.3">
      <c r="A29" s="228"/>
      <c r="B29" s="193">
        <f t="shared" ref="B29:B33" si="9">ROW()-27</f>
        <v>2</v>
      </c>
      <c r="C29" s="227" t="s">
        <v>596</v>
      </c>
      <c r="D29" s="227"/>
      <c r="E29" s="227"/>
      <c r="F29" s="227"/>
      <c r="G29" s="227"/>
      <c r="H29" s="227"/>
      <c r="J29" s="77"/>
      <c r="K29" s="77"/>
      <c r="L29" s="77"/>
      <c r="M29" s="77"/>
      <c r="N29" s="43"/>
      <c r="O29" s="43"/>
      <c r="P29" s="43"/>
      <c r="Q29" s="183"/>
      <c r="R29" s="43"/>
      <c r="S29" s="28"/>
      <c r="T29" s="28"/>
      <c r="U29" s="28"/>
      <c r="V29" s="28"/>
    </row>
    <row r="30" spans="1:22" x14ac:dyDescent="0.3">
      <c r="A30" s="228"/>
      <c r="B30" s="193">
        <f t="shared" si="9"/>
        <v>3</v>
      </c>
      <c r="C30" s="227" t="s">
        <v>597</v>
      </c>
      <c r="D30" s="227"/>
      <c r="E30" s="227"/>
      <c r="F30" s="227"/>
      <c r="G30" s="227"/>
      <c r="H30" s="227"/>
      <c r="J30" s="43"/>
      <c r="K30" s="43"/>
      <c r="L30" s="43"/>
      <c r="M30" s="43"/>
      <c r="N30" s="43"/>
      <c r="O30" s="43"/>
      <c r="P30" s="43"/>
      <c r="Q30" s="183"/>
      <c r="R30" s="43"/>
      <c r="S30" s="28"/>
      <c r="T30" s="28"/>
      <c r="U30" s="28"/>
      <c r="V30" s="28"/>
    </row>
    <row r="31" spans="1:22" x14ac:dyDescent="0.3">
      <c r="A31" s="228"/>
      <c r="B31" s="193">
        <f t="shared" si="9"/>
        <v>4</v>
      </c>
      <c r="C31" s="233" t="s">
        <v>662</v>
      </c>
      <c r="D31" s="234"/>
      <c r="E31" s="234"/>
      <c r="F31" s="234"/>
      <c r="G31" s="234"/>
      <c r="H31" s="235"/>
      <c r="J31" s="43"/>
      <c r="K31" s="43"/>
      <c r="L31" s="43"/>
      <c r="M31" s="43"/>
      <c r="N31" s="43"/>
      <c r="O31" s="43"/>
      <c r="P31" s="43"/>
      <c r="Q31" s="183"/>
      <c r="R31" s="43"/>
      <c r="S31" s="28"/>
      <c r="T31" s="28"/>
      <c r="U31" s="28"/>
      <c r="V31" s="28"/>
    </row>
    <row r="32" spans="1:22" x14ac:dyDescent="0.3">
      <c r="A32" s="228"/>
      <c r="B32" s="193">
        <f t="shared" si="9"/>
        <v>5</v>
      </c>
      <c r="C32" s="227" t="s">
        <v>683</v>
      </c>
      <c r="D32" s="227"/>
      <c r="E32" s="227"/>
      <c r="F32" s="227"/>
      <c r="G32" s="227"/>
      <c r="H32" s="227"/>
      <c r="J32" s="43"/>
      <c r="K32" s="43"/>
      <c r="L32" s="43"/>
      <c r="M32" s="43"/>
      <c r="N32" s="43"/>
      <c r="O32" s="43"/>
      <c r="P32" s="43"/>
      <c r="Q32" s="183"/>
      <c r="R32" s="43"/>
      <c r="S32" s="28"/>
      <c r="T32" s="28"/>
      <c r="U32" s="28"/>
      <c r="V32" s="28"/>
    </row>
    <row r="33" spans="1:22" x14ac:dyDescent="0.3">
      <c r="A33" s="229"/>
      <c r="B33" s="193">
        <f t="shared" si="9"/>
        <v>6</v>
      </c>
      <c r="C33" s="227" t="s">
        <v>599</v>
      </c>
      <c r="D33" s="227"/>
      <c r="E33" s="227"/>
      <c r="F33" s="227"/>
      <c r="G33" s="227"/>
      <c r="H33" s="227"/>
      <c r="J33" s="43"/>
      <c r="K33" s="43"/>
      <c r="L33" s="43"/>
      <c r="M33" s="43"/>
      <c r="N33" s="43"/>
      <c r="O33" s="43"/>
      <c r="P33" s="43"/>
      <c r="Q33" s="183"/>
      <c r="R33" s="43"/>
      <c r="S33" s="28"/>
      <c r="T33" s="28"/>
      <c r="U33" s="28"/>
      <c r="V33" s="28"/>
    </row>
    <row r="34" spans="1:22" x14ac:dyDescent="0.3">
      <c r="A34" s="17" t="s">
        <v>49</v>
      </c>
      <c r="B34" s="3"/>
      <c r="H34" s="20"/>
      <c r="J34" s="43"/>
      <c r="K34" s="43"/>
      <c r="L34" s="43"/>
      <c r="M34" s="43"/>
      <c r="N34" s="43"/>
      <c r="O34" s="43"/>
      <c r="P34" s="43"/>
      <c r="Q34" s="183"/>
      <c r="R34" s="43"/>
      <c r="S34" s="28"/>
      <c r="T34" s="28"/>
      <c r="U34" s="28"/>
      <c r="V34" s="28"/>
    </row>
    <row r="35" spans="1:22" x14ac:dyDescent="0.3">
      <c r="A35" s="17" t="s">
        <v>535</v>
      </c>
      <c r="B35" s="3"/>
      <c r="H35" s="20"/>
      <c r="J35" s="43"/>
      <c r="K35" s="43"/>
      <c r="L35" s="43"/>
      <c r="M35" s="43"/>
      <c r="N35" s="43"/>
      <c r="O35" s="43"/>
      <c r="P35" s="43"/>
      <c r="Q35" s="183"/>
      <c r="R35" s="43"/>
      <c r="S35" s="28"/>
      <c r="T35" s="28"/>
      <c r="U35" s="28"/>
      <c r="V35" s="28"/>
    </row>
    <row r="36" spans="1:22" x14ac:dyDescent="0.3">
      <c r="A36" s="154" t="s">
        <v>250</v>
      </c>
      <c r="B36" s="192"/>
      <c r="C36" s="24"/>
      <c r="D36" s="24"/>
      <c r="E36" s="84"/>
      <c r="F36" s="85"/>
      <c r="G36" s="86"/>
      <c r="H36" s="87"/>
      <c r="J36" s="43"/>
      <c r="K36" s="43"/>
      <c r="L36" s="43"/>
      <c r="M36" s="43"/>
      <c r="N36" s="43"/>
      <c r="O36" s="43"/>
      <c r="P36" s="43"/>
      <c r="Q36" s="183"/>
      <c r="R36" s="43"/>
      <c r="S36" s="28"/>
      <c r="T36" s="28"/>
      <c r="U36" s="28"/>
      <c r="V36" s="28"/>
    </row>
    <row r="39" spans="1:22" x14ac:dyDescent="0.3">
      <c r="H39" s="207" t="s">
        <v>680</v>
      </c>
    </row>
    <row r="40" spans="1:22" x14ac:dyDescent="0.3">
      <c r="H40" s="206">
        <f>G27/E21*3.3</f>
        <v>14929.859999999999</v>
      </c>
    </row>
  </sheetData>
  <mergeCells count="25">
    <mergeCell ref="A28:A33"/>
    <mergeCell ref="C28:H28"/>
    <mergeCell ref="C29:H29"/>
    <mergeCell ref="C30:H30"/>
    <mergeCell ref="C31:H31"/>
    <mergeCell ref="C32:H32"/>
    <mergeCell ref="C33:H33"/>
    <mergeCell ref="B27:C27"/>
    <mergeCell ref="B24:C24"/>
    <mergeCell ref="B17:C17"/>
    <mergeCell ref="B20:C20"/>
    <mergeCell ref="B18:C18"/>
    <mergeCell ref="B21:C21"/>
    <mergeCell ref="B19:C19"/>
    <mergeCell ref="B22:C22"/>
    <mergeCell ref="B23:C23"/>
    <mergeCell ref="B25:C25"/>
    <mergeCell ref="B26:C26"/>
    <mergeCell ref="B16:C16"/>
    <mergeCell ref="B15:C15"/>
    <mergeCell ref="A1:H1"/>
    <mergeCell ref="G3:H3"/>
    <mergeCell ref="B12:C12"/>
    <mergeCell ref="B13:C13"/>
    <mergeCell ref="B14:C14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3" fitToHeight="0" orientation="portrait" horizontalDpi="300" verticalDpi="300" r:id="rId1"/>
  <headerFooter alignWithMargins="0">
    <oddFooter>&amp;C&amp;P/&amp;N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CEF0-FA41-7548-8BE6-95BB172B37E2}">
  <sheetPr>
    <tabColor theme="9" tint="0.79998168889431442"/>
    <pageSetUpPr fitToPage="1"/>
  </sheetPr>
  <dimension ref="A1:V32"/>
  <sheetViews>
    <sheetView showGridLines="0" view="pageBreakPreview" zoomScale="94" zoomScaleNormal="70" zoomScaleSheetLayoutView="70" zoomScalePageLayoutView="85" workbookViewId="0">
      <selection activeCell="F38" sqref="F38"/>
    </sheetView>
  </sheetViews>
  <sheetFormatPr defaultColWidth="9" defaultRowHeight="17.399999999999999" x14ac:dyDescent="0.3"/>
  <cols>
    <col min="1" max="1" width="5.6640625" style="7" customWidth="1"/>
    <col min="2" max="2" width="4.33203125" style="7" bestFit="1" customWidth="1"/>
    <col min="3" max="3" width="59.6640625" style="4" customWidth="1"/>
    <col min="4" max="4" width="8.44140625" style="4" customWidth="1"/>
    <col min="5" max="5" width="11" style="69" bestFit="1" customWidth="1"/>
    <col min="6" max="6" width="1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6640625" style="4" bestFit="1" customWidth="1"/>
    <col min="12" max="13" width="20" style="4" bestFit="1" customWidth="1"/>
    <col min="14" max="14" width="15.33203125" style="4" bestFit="1" customWidth="1"/>
    <col min="15" max="15" width="17.6640625" style="4" bestFit="1" customWidth="1"/>
    <col min="16" max="16" width="14.6640625" style="4" bestFit="1" customWidth="1"/>
    <col min="17" max="17" width="16.33203125" style="181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6"/>
      <c r="G3" s="223"/>
      <c r="H3" s="224"/>
      <c r="I3" s="73"/>
    </row>
    <row r="4" spans="1:22" x14ac:dyDescent="0.3">
      <c r="A4" s="17"/>
      <c r="B4" s="3"/>
      <c r="D4" s="7"/>
      <c r="E4" s="72"/>
      <c r="F4" s="19"/>
      <c r="G4" s="19"/>
      <c r="H4" s="20"/>
    </row>
    <row r="5" spans="1:22" x14ac:dyDescent="0.3">
      <c r="A5" s="17"/>
      <c r="B5" s="3"/>
      <c r="D5" s="7"/>
      <c r="E5" s="72"/>
      <c r="F5" s="19"/>
      <c r="G5" s="73"/>
      <c r="H5" s="74"/>
      <c r="I5" s="73"/>
    </row>
    <row r="6" spans="1:22" x14ac:dyDescent="0.3">
      <c r="A6" s="17"/>
      <c r="B6" s="3"/>
      <c r="D6" s="7"/>
      <c r="E6" s="72"/>
      <c r="G6" s="73" t="s">
        <v>732</v>
      </c>
      <c r="H6" s="74"/>
      <c r="I6" s="73"/>
    </row>
    <row r="7" spans="1:22" x14ac:dyDescent="0.3">
      <c r="A7" s="17"/>
      <c r="B7" s="3"/>
      <c r="D7" s="7"/>
      <c r="E7" s="72"/>
      <c r="F7" s="19" t="s">
        <v>21</v>
      </c>
      <c r="G7" s="73" t="s">
        <v>731</v>
      </c>
      <c r="H7" s="74"/>
      <c r="I7" s="73"/>
    </row>
    <row r="8" spans="1:22" x14ac:dyDescent="0.3">
      <c r="A8" s="17"/>
      <c r="B8" s="3"/>
      <c r="D8" s="7"/>
      <c r="E8" s="72"/>
      <c r="F8" s="19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22" t="s">
        <v>25</v>
      </c>
      <c r="G10" s="73"/>
      <c r="H10" s="74"/>
      <c r="I10" s="73"/>
    </row>
    <row r="11" spans="1:22" ht="22.2" customHeight="1" x14ac:dyDescent="0.3">
      <c r="A11" s="23" t="s">
        <v>26</v>
      </c>
      <c r="B11" s="24"/>
      <c r="C11" s="24"/>
      <c r="D11" s="25"/>
      <c r="E11" s="62"/>
      <c r="F11" s="19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180" t="s">
        <v>558</v>
      </c>
      <c r="R12" s="161">
        <v>1.3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x14ac:dyDescent="0.3">
      <c r="A13" s="28" t="s">
        <v>34</v>
      </c>
      <c r="B13" s="217" t="s">
        <v>723</v>
      </c>
      <c r="C13" s="218"/>
      <c r="D13" s="218"/>
      <c r="E13" s="218"/>
      <c r="F13" s="218"/>
      <c r="G13" s="218"/>
      <c r="H13" s="219"/>
      <c r="I13" s="7"/>
      <c r="J13" s="157"/>
      <c r="K13" s="157"/>
      <c r="L13" s="187"/>
      <c r="M13" s="187"/>
      <c r="N13" s="162"/>
      <c r="O13" s="186"/>
      <c r="P13" s="162"/>
      <c r="Q13" s="209"/>
      <c r="R13" s="161"/>
      <c r="S13" s="157"/>
      <c r="T13" s="157"/>
      <c r="U13" s="157"/>
      <c r="V13" s="157"/>
    </row>
    <row r="14" spans="1:22" s="139" customFormat="1" ht="60" customHeight="1" x14ac:dyDescent="0.3">
      <c r="A14" s="28">
        <v>1</v>
      </c>
      <c r="B14" s="220" t="s">
        <v>726</v>
      </c>
      <c r="C14" s="221"/>
      <c r="D14" s="28" t="s">
        <v>19</v>
      </c>
      <c r="E14" s="37">
        <f>E17*0.3</f>
        <v>198</v>
      </c>
      <c r="F14" s="94">
        <v>950</v>
      </c>
      <c r="G14" s="42">
        <f>E14*F14</f>
        <v>188100</v>
      </c>
      <c r="H14" s="28"/>
      <c r="I14" s="7"/>
      <c r="J14" s="28"/>
      <c r="K14" s="28">
        <f>0.01*500+20</f>
        <v>25</v>
      </c>
      <c r="L14" s="28"/>
      <c r="M14" s="28"/>
      <c r="N14" s="166">
        <f t="shared" ref="N14:N18" si="0">ROUND(E14*L14/S14,1)*T14+ROUND(E14*M14/U14,1)*V14</f>
        <v>0</v>
      </c>
      <c r="O14" s="163">
        <f>4000*0.02</f>
        <v>80</v>
      </c>
      <c r="P14" s="179">
        <f t="shared" ref="P14:P19" si="1">E14*O14</f>
        <v>15840</v>
      </c>
      <c r="Q14" s="180">
        <f t="shared" ref="Q14:Q19" si="2">(K14+(N14+P14))*$R$12</f>
        <v>20624.5</v>
      </c>
      <c r="R14" s="163"/>
      <c r="S14" s="157">
        <v>1</v>
      </c>
      <c r="T14" s="157"/>
      <c r="U14" s="157">
        <v>1</v>
      </c>
      <c r="V14" s="157"/>
    </row>
    <row r="15" spans="1:22" s="139" customFormat="1" ht="60" customHeight="1" x14ac:dyDescent="0.3">
      <c r="A15" s="28">
        <v>2</v>
      </c>
      <c r="B15" s="220" t="s">
        <v>727</v>
      </c>
      <c r="C15" s="221"/>
      <c r="D15" s="28" t="s">
        <v>19</v>
      </c>
      <c r="E15" s="37">
        <f>E18*0.7</f>
        <v>461.99999999999994</v>
      </c>
      <c r="F15" s="94">
        <v>1100</v>
      </c>
      <c r="G15" s="42">
        <f t="shared" ref="G15:G19" si="3">E15*F15</f>
        <v>508199.99999999994</v>
      </c>
      <c r="H15" s="28"/>
      <c r="I15" s="7"/>
      <c r="J15" s="28">
        <f t="shared" ref="J15:J19" si="4">ROUNDUP(E15*L15/S15,0)</f>
        <v>0</v>
      </c>
      <c r="K15" s="28"/>
      <c r="L15" s="28"/>
      <c r="M15" s="28"/>
      <c r="N15" s="166">
        <f t="shared" si="0"/>
        <v>0</v>
      </c>
      <c r="O15" s="163">
        <v>250</v>
      </c>
      <c r="P15" s="179">
        <f>E15*O15</f>
        <v>115499.99999999999</v>
      </c>
      <c r="Q15" s="180">
        <f t="shared" si="2"/>
        <v>150150</v>
      </c>
      <c r="R15" s="163"/>
      <c r="S15" s="157">
        <v>1</v>
      </c>
      <c r="T15" s="157"/>
      <c r="U15" s="157">
        <v>1</v>
      </c>
      <c r="V15" s="157"/>
    </row>
    <row r="16" spans="1:22" x14ac:dyDescent="0.3">
      <c r="A16" s="28" t="s">
        <v>77</v>
      </c>
      <c r="B16" s="217" t="s">
        <v>724</v>
      </c>
      <c r="C16" s="218"/>
      <c r="D16" s="218"/>
      <c r="E16" s="218"/>
      <c r="F16" s="218"/>
      <c r="G16" s="218"/>
      <c r="H16" s="219"/>
      <c r="I16" s="7"/>
      <c r="J16" s="157"/>
      <c r="K16" s="157"/>
      <c r="L16" s="187"/>
      <c r="M16" s="187"/>
      <c r="N16" s="162"/>
      <c r="O16" s="186"/>
      <c r="P16" s="162"/>
      <c r="Q16" s="209"/>
      <c r="R16" s="161"/>
      <c r="S16" s="157"/>
      <c r="T16" s="157"/>
      <c r="U16" s="157"/>
      <c r="V16" s="157"/>
    </row>
    <row r="17" spans="1:22" s="139" customFormat="1" ht="60" customHeight="1" x14ac:dyDescent="0.3">
      <c r="A17" s="28">
        <v>1</v>
      </c>
      <c r="B17" s="220" t="s">
        <v>725</v>
      </c>
      <c r="C17" s="221"/>
      <c r="D17" s="28" t="s">
        <v>252</v>
      </c>
      <c r="E17" s="37">
        <f>200*3.3</f>
        <v>660</v>
      </c>
      <c r="F17" s="94">
        <v>400</v>
      </c>
      <c r="G17" s="42">
        <f t="shared" si="3"/>
        <v>264000</v>
      </c>
      <c r="H17" s="28"/>
      <c r="I17" s="7"/>
      <c r="J17" s="28">
        <f t="shared" si="4"/>
        <v>0</v>
      </c>
      <c r="K17" s="28">
        <v>10</v>
      </c>
      <c r="L17" s="157"/>
      <c r="M17" s="157"/>
      <c r="N17" s="166">
        <f t="shared" si="0"/>
        <v>0</v>
      </c>
      <c r="O17" s="163">
        <v>100</v>
      </c>
      <c r="P17" s="179">
        <f t="shared" si="1"/>
        <v>66000</v>
      </c>
      <c r="Q17" s="180">
        <f t="shared" si="2"/>
        <v>85813</v>
      </c>
      <c r="R17" s="157"/>
      <c r="S17" s="157">
        <v>30</v>
      </c>
      <c r="T17" s="157"/>
      <c r="U17" s="157">
        <v>1</v>
      </c>
      <c r="V17" s="157"/>
    </row>
    <row r="18" spans="1:22" s="139" customFormat="1" ht="60" customHeight="1" x14ac:dyDescent="0.3">
      <c r="A18" s="28">
        <v>2</v>
      </c>
      <c r="B18" s="220" t="s">
        <v>728</v>
      </c>
      <c r="C18" s="221"/>
      <c r="D18" s="28" t="s">
        <v>252</v>
      </c>
      <c r="E18" s="37">
        <f>200*3.3</f>
        <v>660</v>
      </c>
      <c r="F18" s="94">
        <v>500</v>
      </c>
      <c r="G18" s="42">
        <f t="shared" si="3"/>
        <v>330000</v>
      </c>
      <c r="H18" s="28"/>
      <c r="I18" s="7"/>
      <c r="J18" s="28">
        <f>ROUNDUP(E18*L18/S18,0)</f>
        <v>88</v>
      </c>
      <c r="K18" s="28"/>
      <c r="L18" s="28">
        <v>4</v>
      </c>
      <c r="M18" s="28"/>
      <c r="N18" s="166">
        <f t="shared" si="0"/>
        <v>39600</v>
      </c>
      <c r="O18" s="163">
        <v>350</v>
      </c>
      <c r="P18" s="179">
        <f t="shared" si="1"/>
        <v>231000</v>
      </c>
      <c r="Q18" s="180">
        <f t="shared" si="2"/>
        <v>351780</v>
      </c>
      <c r="R18" s="163"/>
      <c r="S18" s="157">
        <v>30</v>
      </c>
      <c r="T18" s="157">
        <v>450</v>
      </c>
      <c r="U18" s="157">
        <v>1</v>
      </c>
      <c r="V18" s="157"/>
    </row>
    <row r="19" spans="1:22" s="139" customFormat="1" ht="60" customHeight="1" x14ac:dyDescent="0.3">
      <c r="A19" s="28">
        <v>3</v>
      </c>
      <c r="B19" s="220" t="s">
        <v>424</v>
      </c>
      <c r="C19" s="221"/>
      <c r="D19" s="28" t="s">
        <v>4</v>
      </c>
      <c r="E19" s="37">
        <v>1</v>
      </c>
      <c r="F19" s="94">
        <f>SUM(G14:G18)*0.1</f>
        <v>129030</v>
      </c>
      <c r="G19" s="42">
        <f t="shared" si="3"/>
        <v>129030</v>
      </c>
      <c r="H19" s="28"/>
      <c r="I19" s="7"/>
      <c r="J19" s="28">
        <f t="shared" si="4"/>
        <v>1</v>
      </c>
      <c r="K19" s="28"/>
      <c r="L19" s="28">
        <v>0.14499999999999999</v>
      </c>
      <c r="M19" s="28"/>
      <c r="N19" s="166">
        <f t="shared" ref="N19" si="5">ROUND(E19*L19/S19,1)*T19+ROUND(E19*M19/U19,1)*V19</f>
        <v>0</v>
      </c>
      <c r="O19" s="163"/>
      <c r="P19" s="179">
        <f t="shared" si="1"/>
        <v>0</v>
      </c>
      <c r="Q19" s="180">
        <f t="shared" si="2"/>
        <v>0</v>
      </c>
      <c r="R19" s="163"/>
      <c r="S19" s="160">
        <v>10</v>
      </c>
      <c r="T19" s="160">
        <f>450*10</f>
        <v>4500</v>
      </c>
      <c r="U19" s="160">
        <v>1</v>
      </c>
      <c r="V19" s="160"/>
    </row>
    <row r="20" spans="1:22" s="145" customFormat="1" x14ac:dyDescent="0.3">
      <c r="A20" s="28"/>
      <c r="B20" s="215" t="s">
        <v>16</v>
      </c>
      <c r="C20" s="216"/>
      <c r="D20" s="28"/>
      <c r="E20" s="37"/>
      <c r="F20" s="94"/>
      <c r="G20" s="156">
        <f>SUM(G14:G19)</f>
        <v>1419330</v>
      </c>
      <c r="H20" s="28"/>
      <c r="I20" s="7"/>
      <c r="J20" s="170"/>
      <c r="K20" s="170"/>
      <c r="L20" s="170"/>
      <c r="M20" s="170"/>
      <c r="N20" s="171"/>
      <c r="O20" s="171"/>
      <c r="P20" s="171"/>
      <c r="Q20" s="182"/>
      <c r="R20" s="171"/>
      <c r="S20" s="172"/>
      <c r="T20" s="172"/>
      <c r="U20" s="172"/>
      <c r="V20" s="172"/>
    </row>
    <row r="21" spans="1:22" x14ac:dyDescent="0.3">
      <c r="A21" s="228" t="s">
        <v>17</v>
      </c>
      <c r="B21" s="193">
        <f>ROW()-20</f>
        <v>1</v>
      </c>
      <c r="C21" s="227" t="s">
        <v>730</v>
      </c>
      <c r="D21" s="227"/>
      <c r="E21" s="227"/>
      <c r="F21" s="227"/>
      <c r="G21" s="227"/>
      <c r="H21" s="227"/>
      <c r="J21" s="43"/>
      <c r="K21" s="43"/>
      <c r="L21" s="43"/>
      <c r="M21" s="43"/>
      <c r="N21" s="43"/>
      <c r="O21" s="43"/>
      <c r="P21" s="43"/>
      <c r="Q21" s="183"/>
      <c r="R21" s="43"/>
      <c r="S21" s="28"/>
      <c r="T21" s="28"/>
      <c r="U21" s="28"/>
      <c r="V21" s="28"/>
    </row>
    <row r="22" spans="1:22" x14ac:dyDescent="0.3">
      <c r="A22" s="228"/>
      <c r="B22" s="193">
        <f t="shared" ref="B22:B25" si="6">ROW()-20</f>
        <v>2</v>
      </c>
      <c r="C22" s="227" t="s">
        <v>597</v>
      </c>
      <c r="D22" s="227"/>
      <c r="E22" s="227"/>
      <c r="F22" s="227"/>
      <c r="G22" s="227"/>
      <c r="H22" s="227"/>
      <c r="J22" s="43"/>
      <c r="K22" s="43"/>
      <c r="L22" s="43"/>
      <c r="M22" s="43"/>
      <c r="N22" s="43"/>
      <c r="O22" s="43"/>
      <c r="P22" s="43"/>
      <c r="Q22" s="183"/>
      <c r="R22" s="43"/>
      <c r="S22" s="28"/>
      <c r="T22" s="28"/>
      <c r="U22" s="28"/>
      <c r="V22" s="28"/>
    </row>
    <row r="23" spans="1:22" x14ac:dyDescent="0.3">
      <c r="A23" s="228"/>
      <c r="B23" s="193">
        <f t="shared" si="6"/>
        <v>3</v>
      </c>
      <c r="C23" s="233" t="s">
        <v>662</v>
      </c>
      <c r="D23" s="234"/>
      <c r="E23" s="234"/>
      <c r="F23" s="234"/>
      <c r="G23" s="234"/>
      <c r="H23" s="235"/>
      <c r="J23" s="43"/>
      <c r="K23" s="43"/>
      <c r="L23" s="43"/>
      <c r="M23" s="43"/>
      <c r="N23" s="43"/>
      <c r="O23" s="43"/>
      <c r="P23" s="43"/>
      <c r="Q23" s="183"/>
      <c r="R23" s="43"/>
      <c r="S23" s="28"/>
      <c r="T23" s="28"/>
      <c r="U23" s="28"/>
      <c r="V23" s="28"/>
    </row>
    <row r="24" spans="1:22" x14ac:dyDescent="0.3">
      <c r="A24" s="228"/>
      <c r="B24" s="193">
        <f t="shared" si="6"/>
        <v>4</v>
      </c>
      <c r="C24" s="227" t="s">
        <v>729</v>
      </c>
      <c r="D24" s="227"/>
      <c r="E24" s="227"/>
      <c r="F24" s="227"/>
      <c r="G24" s="227"/>
      <c r="H24" s="227"/>
      <c r="J24" s="43"/>
      <c r="K24" s="43"/>
      <c r="L24" s="43"/>
      <c r="M24" s="43"/>
      <c r="N24" s="43"/>
      <c r="O24" s="43"/>
      <c r="P24" s="43"/>
      <c r="Q24" s="183"/>
      <c r="R24" s="43"/>
      <c r="S24" s="28"/>
      <c r="T24" s="28"/>
      <c r="U24" s="28"/>
      <c r="V24" s="28"/>
    </row>
    <row r="25" spans="1:22" x14ac:dyDescent="0.3">
      <c r="A25" s="229"/>
      <c r="B25" s="193">
        <f t="shared" si="6"/>
        <v>5</v>
      </c>
      <c r="C25" s="227" t="s">
        <v>599</v>
      </c>
      <c r="D25" s="227"/>
      <c r="E25" s="227"/>
      <c r="F25" s="227"/>
      <c r="G25" s="227"/>
      <c r="H25" s="227"/>
      <c r="J25" s="43"/>
      <c r="K25" s="43"/>
      <c r="L25" s="43"/>
      <c r="M25" s="43"/>
      <c r="N25" s="43"/>
      <c r="O25" s="43"/>
      <c r="P25" s="43"/>
      <c r="Q25" s="183"/>
      <c r="R25" s="43"/>
      <c r="S25" s="28"/>
      <c r="T25" s="28"/>
      <c r="U25" s="28"/>
      <c r="V25" s="28"/>
    </row>
    <row r="26" spans="1:22" x14ac:dyDescent="0.3">
      <c r="A26" s="17" t="s">
        <v>49</v>
      </c>
      <c r="B26" s="3"/>
      <c r="H26" s="20"/>
      <c r="J26" s="43"/>
      <c r="K26" s="43"/>
      <c r="L26" s="43"/>
      <c r="M26" s="43"/>
      <c r="N26" s="43"/>
      <c r="O26" s="43"/>
      <c r="P26" s="43"/>
      <c r="Q26" s="183"/>
      <c r="R26" s="43"/>
      <c r="S26" s="28"/>
      <c r="T26" s="28"/>
      <c r="U26" s="28"/>
      <c r="V26" s="28"/>
    </row>
    <row r="27" spans="1:22" x14ac:dyDescent="0.3">
      <c r="A27" s="17" t="s">
        <v>535</v>
      </c>
      <c r="B27" s="3"/>
      <c r="H27" s="20"/>
      <c r="J27" s="43"/>
      <c r="K27" s="43"/>
      <c r="L27" s="43"/>
      <c r="M27" s="43"/>
      <c r="N27" s="43"/>
      <c r="O27" s="43"/>
      <c r="P27" s="43"/>
      <c r="Q27" s="183"/>
      <c r="R27" s="43"/>
      <c r="S27" s="28"/>
      <c r="T27" s="28"/>
      <c r="U27" s="28"/>
      <c r="V27" s="28"/>
    </row>
    <row r="28" spans="1:22" x14ac:dyDescent="0.3">
      <c r="A28" s="154" t="s">
        <v>250</v>
      </c>
      <c r="B28" s="192"/>
      <c r="C28" s="24"/>
      <c r="D28" s="24"/>
      <c r="E28" s="84"/>
      <c r="F28" s="85"/>
      <c r="G28" s="86"/>
      <c r="H28" s="87"/>
      <c r="J28" s="43"/>
      <c r="K28" s="43"/>
      <c r="L28" s="43"/>
      <c r="M28" s="43"/>
      <c r="N28" s="43"/>
      <c r="O28" s="43"/>
      <c r="P28" s="43"/>
      <c r="Q28" s="183"/>
      <c r="R28" s="43"/>
      <c r="S28" s="28"/>
      <c r="T28" s="28"/>
      <c r="U28" s="28"/>
      <c r="V28" s="28"/>
    </row>
    <row r="31" spans="1:22" x14ac:dyDescent="0.3">
      <c r="H31" s="207" t="s">
        <v>680</v>
      </c>
    </row>
    <row r="32" spans="1:22" x14ac:dyDescent="0.3">
      <c r="H32" s="206" t="e">
        <f>G20/#REF!*3.3</f>
        <v>#REF!</v>
      </c>
    </row>
  </sheetData>
  <mergeCells count="17">
    <mergeCell ref="B19:C19"/>
    <mergeCell ref="B20:C20"/>
    <mergeCell ref="B18:C18"/>
    <mergeCell ref="A1:H1"/>
    <mergeCell ref="G3:H3"/>
    <mergeCell ref="B12:C12"/>
    <mergeCell ref="B14:C14"/>
    <mergeCell ref="B15:C15"/>
    <mergeCell ref="B17:C17"/>
    <mergeCell ref="B13:H13"/>
    <mergeCell ref="B16:H16"/>
    <mergeCell ref="A21:A25"/>
    <mergeCell ref="C22:H22"/>
    <mergeCell ref="C21:H21"/>
    <mergeCell ref="C23:H23"/>
    <mergeCell ref="C24:H24"/>
    <mergeCell ref="C25:H25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3" fitToHeight="0" orientation="portrait" horizontalDpi="300" verticalDpi="300" r:id="rId1"/>
  <headerFooter alignWithMargins="0">
    <oddFooter>&amp;C&amp;P/&amp;N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0DAE-AD1C-F74C-A3AD-6256CE6E5083}">
  <sheetPr>
    <tabColor theme="9" tint="0.79998168889431442"/>
    <pageSetUpPr fitToPage="1"/>
  </sheetPr>
  <dimension ref="A1:V29"/>
  <sheetViews>
    <sheetView showGridLines="0" view="pageBreakPreview" zoomScale="70" zoomScaleNormal="70" zoomScaleSheetLayoutView="70" zoomScalePageLayoutView="85" workbookViewId="0">
      <selection activeCell="F3" sqref="F3"/>
    </sheetView>
  </sheetViews>
  <sheetFormatPr defaultColWidth="9" defaultRowHeight="17.399999999999999" x14ac:dyDescent="0.3"/>
  <cols>
    <col min="1" max="1" width="5.6640625" style="7" customWidth="1"/>
    <col min="2" max="2" width="4.33203125" style="7" bestFit="1" customWidth="1"/>
    <col min="3" max="3" width="59.6640625" style="4" customWidth="1"/>
    <col min="4" max="4" width="8.44140625" style="4" customWidth="1"/>
    <col min="5" max="5" width="10.44140625" style="69" bestFit="1" customWidth="1"/>
    <col min="6" max="6" width="14.664062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44140625" style="4" bestFit="1" customWidth="1"/>
    <col min="12" max="13" width="19.6640625" style="4" bestFit="1" customWidth="1"/>
    <col min="14" max="14" width="14.6640625" style="4" bestFit="1" customWidth="1"/>
    <col min="15" max="15" width="17.44140625" style="4" bestFit="1" customWidth="1"/>
    <col min="16" max="16" width="14.6640625" style="4" bestFit="1" customWidth="1"/>
    <col min="17" max="17" width="16" style="181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95"/>
      <c r="G3" s="223"/>
      <c r="H3" s="224"/>
      <c r="I3" s="73"/>
    </row>
    <row r="4" spans="1:22" x14ac:dyDescent="0.3">
      <c r="A4" s="17"/>
      <c r="B4" s="3"/>
      <c r="D4" s="7"/>
      <c r="E4" s="72"/>
      <c r="F4" s="196"/>
      <c r="G4" s="19"/>
      <c r="H4" s="20"/>
    </row>
    <row r="5" spans="1:22" x14ac:dyDescent="0.3">
      <c r="A5" s="17"/>
      <c r="B5" s="3"/>
      <c r="D5" s="7"/>
      <c r="E5" s="72"/>
      <c r="F5" s="196"/>
      <c r="G5" s="73"/>
      <c r="H5" s="74"/>
      <c r="I5" s="73"/>
    </row>
    <row r="6" spans="1:22" x14ac:dyDescent="0.3">
      <c r="A6" s="17"/>
      <c r="B6" s="3"/>
      <c r="D6" s="7"/>
      <c r="E6" s="72"/>
      <c r="G6" s="73"/>
      <c r="H6" s="74"/>
      <c r="I6" s="73"/>
    </row>
    <row r="7" spans="1:22" x14ac:dyDescent="0.3">
      <c r="A7" s="17"/>
      <c r="B7" s="3"/>
      <c r="D7" s="7"/>
      <c r="E7" s="72"/>
      <c r="F7" s="196" t="s">
        <v>21</v>
      </c>
      <c r="G7" s="73"/>
      <c r="H7" s="74"/>
      <c r="I7" s="73"/>
    </row>
    <row r="8" spans="1:22" x14ac:dyDescent="0.3">
      <c r="A8" s="17"/>
      <c r="B8" s="3"/>
      <c r="D8" s="7"/>
      <c r="E8" s="72"/>
      <c r="F8" s="196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6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197" t="s">
        <v>25</v>
      </c>
      <c r="G10" s="73"/>
      <c r="H10" s="74"/>
      <c r="I10" s="73"/>
    </row>
    <row r="11" spans="1:22" ht="22.2" customHeight="1" x14ac:dyDescent="0.3">
      <c r="A11" s="23" t="s">
        <v>26</v>
      </c>
      <c r="B11" s="24"/>
      <c r="C11" s="24"/>
      <c r="D11" s="25"/>
      <c r="E11" s="62"/>
      <c r="F11" s="196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180" t="s">
        <v>558</v>
      </c>
      <c r="R12" s="161">
        <v>1.3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s="139" customFormat="1" ht="60" customHeight="1" x14ac:dyDescent="0.3">
      <c r="A13" s="28">
        <f>ROW()-12</f>
        <v>1</v>
      </c>
      <c r="B13" s="220" t="s">
        <v>440</v>
      </c>
      <c r="C13" s="221"/>
      <c r="D13" s="28" t="s">
        <v>252</v>
      </c>
      <c r="E13" s="37">
        <v>1</v>
      </c>
      <c r="F13" s="94">
        <v>1500</v>
      </c>
      <c r="G13" s="42">
        <f t="shared" ref="G13:G17" si="0">E13*F13</f>
        <v>1500</v>
      </c>
      <c r="H13" s="28" t="s">
        <v>566</v>
      </c>
      <c r="I13" s="7"/>
      <c r="J13" s="28"/>
      <c r="K13" s="28">
        <f>0.01*500+20</f>
        <v>25</v>
      </c>
      <c r="L13" s="28"/>
      <c r="M13" s="28"/>
      <c r="N13" s="166">
        <f t="shared" ref="N13:N17" si="1">ROUNDUP(E13*L13/S13,0)*T13+ROUNDUP(E13*M13/U13,0)*V13</f>
        <v>0</v>
      </c>
      <c r="O13" s="163">
        <f>4000*0.02</f>
        <v>80</v>
      </c>
      <c r="P13" s="179">
        <f t="shared" ref="P13:P17" si="2">E13*O13</f>
        <v>80</v>
      </c>
      <c r="Q13" s="184">
        <f t="shared" ref="Q13:Q17" si="3">(K13+(N13+P13))*$R$12</f>
        <v>136.5</v>
      </c>
      <c r="R13" s="163"/>
      <c r="S13" s="157">
        <v>1</v>
      </c>
      <c r="T13" s="157"/>
      <c r="U13" s="157">
        <v>1</v>
      </c>
      <c r="V13" s="157"/>
    </row>
    <row r="14" spans="1:22" s="139" customFormat="1" ht="60" customHeight="1" x14ac:dyDescent="0.3">
      <c r="A14" s="28">
        <f t="shared" ref="A14:A17" si="4">ROW()-12</f>
        <v>2</v>
      </c>
      <c r="B14" s="220" t="s">
        <v>582</v>
      </c>
      <c r="C14" s="221"/>
      <c r="D14" s="28" t="s">
        <v>252</v>
      </c>
      <c r="E14" s="37">
        <v>1</v>
      </c>
      <c r="F14" s="94">
        <v>2600</v>
      </c>
      <c r="G14" s="42">
        <f t="shared" si="0"/>
        <v>2600</v>
      </c>
      <c r="H14" s="28"/>
      <c r="I14" s="7"/>
      <c r="J14" s="28"/>
      <c r="K14" s="28"/>
      <c r="L14" s="28"/>
      <c r="M14" s="28"/>
      <c r="N14" s="166">
        <f t="shared" si="1"/>
        <v>0</v>
      </c>
      <c r="O14" s="163"/>
      <c r="P14" s="179">
        <f>E14*O14</f>
        <v>0</v>
      </c>
      <c r="Q14" s="189"/>
      <c r="R14" s="163"/>
      <c r="S14" s="157">
        <v>1</v>
      </c>
      <c r="T14" s="157"/>
      <c r="U14" s="157">
        <v>1</v>
      </c>
      <c r="V14" s="157"/>
    </row>
    <row r="15" spans="1:22" s="139" customFormat="1" ht="60" customHeight="1" x14ac:dyDescent="0.3">
      <c r="A15" s="28">
        <f t="shared" si="4"/>
        <v>3</v>
      </c>
      <c r="B15" s="220" t="s">
        <v>441</v>
      </c>
      <c r="C15" s="221"/>
      <c r="D15" s="28" t="s">
        <v>252</v>
      </c>
      <c r="E15" s="37">
        <v>1</v>
      </c>
      <c r="F15" s="94">
        <v>1500</v>
      </c>
      <c r="G15" s="42">
        <f t="shared" si="0"/>
        <v>1500</v>
      </c>
      <c r="H15" s="28"/>
      <c r="I15" s="7"/>
      <c r="J15" s="173">
        <f>E15*L15/S15</f>
        <v>0.13333333333333333</v>
      </c>
      <c r="K15" s="28"/>
      <c r="L15" s="157">
        <v>4</v>
      </c>
      <c r="M15" s="157"/>
      <c r="N15" s="166">
        <f t="shared" si="1"/>
        <v>425</v>
      </c>
      <c r="O15" s="163">
        <v>350</v>
      </c>
      <c r="P15" s="179">
        <f t="shared" si="2"/>
        <v>350</v>
      </c>
      <c r="Q15" s="188">
        <f>(K15+N15+P15)*($R$12)</f>
        <v>1007.5</v>
      </c>
      <c r="R15" s="157"/>
      <c r="S15" s="157">
        <v>30</v>
      </c>
      <c r="T15" s="157">
        <v>425</v>
      </c>
      <c r="U15" s="157">
        <v>1</v>
      </c>
      <c r="V15" s="157"/>
    </row>
    <row r="16" spans="1:22" s="139" customFormat="1" ht="60" customHeight="1" x14ac:dyDescent="0.3">
      <c r="A16" s="28">
        <f t="shared" si="4"/>
        <v>4</v>
      </c>
      <c r="B16" s="220" t="s">
        <v>424</v>
      </c>
      <c r="C16" s="221"/>
      <c r="D16" s="28" t="s">
        <v>4</v>
      </c>
      <c r="E16" s="37">
        <v>1</v>
      </c>
      <c r="F16" s="94">
        <f>SUM(G13:G15)*0.1</f>
        <v>560</v>
      </c>
      <c r="G16" s="42">
        <f t="shared" si="0"/>
        <v>560</v>
      </c>
      <c r="H16" s="28"/>
      <c r="I16" s="7"/>
      <c r="J16" s="28">
        <f>ROUNDUP(E16*L16/S16,0)</f>
        <v>1</v>
      </c>
      <c r="K16" s="28"/>
      <c r="L16" s="28">
        <v>1</v>
      </c>
      <c r="M16" s="28"/>
      <c r="N16" s="166">
        <f t="shared" si="1"/>
        <v>14000</v>
      </c>
      <c r="O16" s="163">
        <v>0</v>
      </c>
      <c r="P16" s="179">
        <f t="shared" si="2"/>
        <v>0</v>
      </c>
      <c r="Q16" s="184">
        <f t="shared" si="3"/>
        <v>18200</v>
      </c>
      <c r="R16" s="163"/>
      <c r="S16" s="157">
        <v>50</v>
      </c>
      <c r="T16" s="157">
        <v>14000</v>
      </c>
      <c r="U16" s="157">
        <v>1</v>
      </c>
      <c r="V16" s="157"/>
    </row>
    <row r="17" spans="1:22" s="139" customFormat="1" ht="60" customHeight="1" x14ac:dyDescent="0.3">
      <c r="A17" s="28">
        <f t="shared" si="4"/>
        <v>5</v>
      </c>
      <c r="B17" s="220" t="s">
        <v>594</v>
      </c>
      <c r="C17" s="221"/>
      <c r="D17" s="28" t="s">
        <v>11</v>
      </c>
      <c r="E17" s="37">
        <v>1</v>
      </c>
      <c r="F17" s="190">
        <v>-1000</v>
      </c>
      <c r="G17" s="190">
        <f t="shared" si="0"/>
        <v>-1000</v>
      </c>
      <c r="H17" s="28"/>
      <c r="I17" s="7"/>
      <c r="J17" s="28"/>
      <c r="K17" s="28"/>
      <c r="L17" s="28">
        <v>0.5</v>
      </c>
      <c r="M17" s="28">
        <v>0.5</v>
      </c>
      <c r="N17" s="166">
        <f t="shared" si="1"/>
        <v>15270</v>
      </c>
      <c r="O17" s="163"/>
      <c r="P17" s="179">
        <f t="shared" si="2"/>
        <v>0</v>
      </c>
      <c r="Q17" s="184">
        <f t="shared" si="3"/>
        <v>19851</v>
      </c>
      <c r="R17" s="163"/>
      <c r="S17" s="160">
        <v>18</v>
      </c>
      <c r="T17" s="160">
        <f>315*S17</f>
        <v>5670</v>
      </c>
      <c r="U17" s="160">
        <v>20</v>
      </c>
      <c r="V17" s="160">
        <f>480*U17</f>
        <v>9600</v>
      </c>
    </row>
    <row r="18" spans="1:22" s="145" customFormat="1" x14ac:dyDescent="0.3">
      <c r="A18" s="28"/>
      <c r="B18" s="215" t="s">
        <v>481</v>
      </c>
      <c r="C18" s="216"/>
      <c r="D18" s="28"/>
      <c r="E18" s="37"/>
      <c r="F18" s="190"/>
      <c r="G18" s="156">
        <f>SUM(G13:G17)</f>
        <v>5160</v>
      </c>
      <c r="H18" s="28"/>
      <c r="I18" s="7"/>
      <c r="J18" s="170"/>
      <c r="K18" s="170"/>
      <c r="L18" s="170"/>
      <c r="M18" s="170"/>
      <c r="N18" s="171"/>
      <c r="O18" s="171"/>
      <c r="P18" s="171"/>
      <c r="Q18" s="182"/>
      <c r="R18" s="171"/>
      <c r="S18" s="172"/>
      <c r="T18" s="172"/>
      <c r="U18" s="172"/>
      <c r="V18" s="172"/>
    </row>
    <row r="19" spans="1:22" s="145" customFormat="1" x14ac:dyDescent="0.3">
      <c r="A19" s="28"/>
      <c r="B19" s="215" t="s">
        <v>482</v>
      </c>
      <c r="C19" s="216"/>
      <c r="D19" s="28"/>
      <c r="E19" s="37"/>
      <c r="F19" s="190"/>
      <c r="G19" s="156">
        <f>G18*0.05</f>
        <v>258</v>
      </c>
      <c r="H19" s="28"/>
      <c r="I19" s="7"/>
      <c r="J19" s="170"/>
      <c r="K19" s="170"/>
      <c r="L19" s="170"/>
      <c r="M19" s="170"/>
      <c r="N19" s="171"/>
      <c r="O19" s="171"/>
      <c r="P19" s="171"/>
      <c r="Q19" s="182"/>
      <c r="R19" s="171"/>
      <c r="S19" s="172"/>
      <c r="T19" s="172"/>
      <c r="U19" s="172"/>
      <c r="V19" s="172"/>
    </row>
    <row r="20" spans="1:22" ht="30" customHeight="1" x14ac:dyDescent="0.3">
      <c r="A20" s="28"/>
      <c r="B20" s="238" t="s">
        <v>16</v>
      </c>
      <c r="C20" s="239"/>
      <c r="D20" s="28"/>
      <c r="E20" s="68"/>
      <c r="F20" s="49"/>
      <c r="G20" s="155">
        <f>G18+G19</f>
        <v>5418</v>
      </c>
      <c r="H20" s="78"/>
      <c r="I20" s="159"/>
      <c r="J20" s="28"/>
      <c r="K20" s="28"/>
      <c r="L20" s="28"/>
      <c r="M20" s="28"/>
      <c r="N20" s="28"/>
      <c r="O20" s="43"/>
      <c r="P20" s="43"/>
      <c r="Q20" s="183"/>
      <c r="R20" s="43"/>
      <c r="S20" s="28"/>
      <c r="T20" s="28"/>
      <c r="U20" s="28"/>
      <c r="V20" s="28"/>
    </row>
    <row r="21" spans="1:22" x14ac:dyDescent="0.3">
      <c r="A21" s="228" t="s">
        <v>17</v>
      </c>
      <c r="B21" s="193">
        <f>ROW()-20</f>
        <v>1</v>
      </c>
      <c r="C21" s="230" t="s">
        <v>602</v>
      </c>
      <c r="D21" s="227"/>
      <c r="E21" s="227"/>
      <c r="F21" s="227"/>
      <c r="G21" s="227"/>
      <c r="H21" s="227"/>
      <c r="J21" s="43"/>
      <c r="K21" s="43"/>
      <c r="L21" s="43"/>
      <c r="M21" s="43"/>
      <c r="N21" s="43"/>
      <c r="O21" s="43"/>
      <c r="P21" s="43"/>
      <c r="Q21" s="183"/>
      <c r="R21" s="43"/>
      <c r="S21" s="28"/>
      <c r="T21" s="28"/>
      <c r="U21" s="28"/>
      <c r="V21" s="28"/>
    </row>
    <row r="22" spans="1:22" x14ac:dyDescent="0.3">
      <c r="A22" s="228"/>
      <c r="B22" s="193">
        <f t="shared" ref="B22:B26" si="5">ROW()-20</f>
        <v>2</v>
      </c>
      <c r="C22" s="227" t="s">
        <v>596</v>
      </c>
      <c r="D22" s="227"/>
      <c r="E22" s="227"/>
      <c r="F22" s="227"/>
      <c r="G22" s="227"/>
      <c r="H22" s="227"/>
      <c r="J22" s="77"/>
      <c r="K22" s="77"/>
      <c r="L22" s="77"/>
      <c r="M22" s="77"/>
      <c r="N22" s="43"/>
      <c r="O22" s="43"/>
      <c r="P22" s="43"/>
      <c r="Q22" s="183"/>
      <c r="R22" s="43"/>
      <c r="S22" s="28"/>
      <c r="T22" s="28"/>
      <c r="U22" s="28"/>
      <c r="V22" s="28"/>
    </row>
    <row r="23" spans="1:22" x14ac:dyDescent="0.3">
      <c r="A23" s="228"/>
      <c r="B23" s="193">
        <f t="shared" si="5"/>
        <v>3</v>
      </c>
      <c r="C23" s="227" t="s">
        <v>597</v>
      </c>
      <c r="D23" s="227"/>
      <c r="E23" s="227"/>
      <c r="F23" s="227"/>
      <c r="G23" s="227"/>
      <c r="H23" s="227"/>
      <c r="J23" s="43"/>
      <c r="K23" s="43"/>
      <c r="L23" s="43"/>
      <c r="M23" s="43"/>
      <c r="N23" s="43"/>
      <c r="O23" s="43"/>
      <c r="P23" s="43"/>
      <c r="Q23" s="183"/>
      <c r="R23" s="43"/>
      <c r="S23" s="28"/>
      <c r="T23" s="28"/>
      <c r="U23" s="28"/>
      <c r="V23" s="28"/>
    </row>
    <row r="24" spans="1:22" x14ac:dyDescent="0.3">
      <c r="A24" s="228"/>
      <c r="B24" s="193">
        <f t="shared" si="5"/>
        <v>4</v>
      </c>
      <c r="C24" s="233" t="s">
        <v>662</v>
      </c>
      <c r="D24" s="234"/>
      <c r="E24" s="234"/>
      <c r="F24" s="234"/>
      <c r="G24" s="234"/>
      <c r="H24" s="235"/>
      <c r="J24" s="43"/>
      <c r="K24" s="43"/>
      <c r="L24" s="43"/>
      <c r="M24" s="43"/>
      <c r="N24" s="43"/>
      <c r="O24" s="43"/>
      <c r="P24" s="43"/>
      <c r="Q24" s="183"/>
      <c r="R24" s="43"/>
      <c r="S24" s="28"/>
      <c r="T24" s="28"/>
      <c r="U24" s="28"/>
      <c r="V24" s="28"/>
    </row>
    <row r="25" spans="1:22" x14ac:dyDescent="0.3">
      <c r="A25" s="228"/>
      <c r="B25" s="193">
        <f t="shared" si="5"/>
        <v>5</v>
      </c>
      <c r="C25" s="227" t="s">
        <v>598</v>
      </c>
      <c r="D25" s="227"/>
      <c r="E25" s="227"/>
      <c r="F25" s="227"/>
      <c r="G25" s="227"/>
      <c r="H25" s="227"/>
      <c r="J25" s="43"/>
      <c r="K25" s="43"/>
      <c r="L25" s="43"/>
      <c r="M25" s="43"/>
      <c r="N25" s="43"/>
      <c r="O25" s="43"/>
      <c r="P25" s="43"/>
      <c r="Q25" s="183"/>
      <c r="R25" s="43"/>
      <c r="S25" s="28"/>
      <c r="T25" s="28"/>
      <c r="U25" s="28"/>
      <c r="V25" s="28"/>
    </row>
    <row r="26" spans="1:22" x14ac:dyDescent="0.3">
      <c r="A26" s="229"/>
      <c r="B26" s="193">
        <f t="shared" si="5"/>
        <v>6</v>
      </c>
      <c r="C26" s="227" t="s">
        <v>599</v>
      </c>
      <c r="D26" s="227"/>
      <c r="E26" s="227"/>
      <c r="F26" s="227"/>
      <c r="G26" s="227"/>
      <c r="H26" s="227"/>
      <c r="J26" s="43"/>
      <c r="K26" s="43"/>
      <c r="L26" s="43"/>
      <c r="M26" s="43"/>
      <c r="N26" s="43"/>
      <c r="O26" s="43"/>
      <c r="P26" s="43"/>
      <c r="Q26" s="183"/>
      <c r="R26" s="43"/>
      <c r="S26" s="28"/>
      <c r="T26" s="28"/>
      <c r="U26" s="28"/>
      <c r="V26" s="28"/>
    </row>
    <row r="27" spans="1:22" x14ac:dyDescent="0.3">
      <c r="A27" s="17" t="s">
        <v>49</v>
      </c>
      <c r="B27" s="3"/>
      <c r="H27" s="20"/>
      <c r="J27" s="43"/>
      <c r="K27" s="43"/>
      <c r="L27" s="43"/>
      <c r="M27" s="43"/>
      <c r="N27" s="43"/>
      <c r="O27" s="43"/>
      <c r="P27" s="43"/>
      <c r="Q27" s="183"/>
      <c r="R27" s="43"/>
      <c r="S27" s="28"/>
      <c r="T27" s="28"/>
      <c r="U27" s="28"/>
      <c r="V27" s="28"/>
    </row>
    <row r="28" spans="1:22" x14ac:dyDescent="0.3">
      <c r="A28" s="17" t="s">
        <v>535</v>
      </c>
      <c r="B28" s="3"/>
      <c r="H28" s="20"/>
      <c r="J28" s="43"/>
      <c r="K28" s="43"/>
      <c r="L28" s="43"/>
      <c r="M28" s="43"/>
      <c r="N28" s="43"/>
      <c r="O28" s="43"/>
      <c r="P28" s="43"/>
      <c r="Q28" s="183"/>
      <c r="R28" s="43"/>
      <c r="S28" s="28"/>
      <c r="T28" s="28"/>
      <c r="U28" s="28"/>
      <c r="V28" s="28"/>
    </row>
    <row r="29" spans="1:22" x14ac:dyDescent="0.3">
      <c r="A29" s="154" t="s">
        <v>250</v>
      </c>
      <c r="B29" s="192"/>
      <c r="C29" s="24"/>
      <c r="D29" s="24"/>
      <c r="E29" s="84"/>
      <c r="F29" s="85"/>
      <c r="G29" s="86"/>
      <c r="H29" s="87"/>
      <c r="J29" s="43"/>
      <c r="K29" s="43"/>
      <c r="L29" s="43"/>
      <c r="M29" s="43"/>
      <c r="N29" s="43"/>
      <c r="O29" s="43"/>
      <c r="P29" s="43"/>
      <c r="Q29" s="183"/>
      <c r="R29" s="43"/>
      <c r="S29" s="28"/>
      <c r="T29" s="28"/>
      <c r="U29" s="28"/>
      <c r="V29" s="28"/>
    </row>
  </sheetData>
  <mergeCells count="18">
    <mergeCell ref="B17:C17"/>
    <mergeCell ref="B18:C18"/>
    <mergeCell ref="B19:C19"/>
    <mergeCell ref="B20:C20"/>
    <mergeCell ref="A21:A26"/>
    <mergeCell ref="C21:H21"/>
    <mergeCell ref="C22:H22"/>
    <mergeCell ref="C23:H23"/>
    <mergeCell ref="C24:H24"/>
    <mergeCell ref="C25:H25"/>
    <mergeCell ref="C26:H26"/>
    <mergeCell ref="B16:C16"/>
    <mergeCell ref="A1:H1"/>
    <mergeCell ref="G3:H3"/>
    <mergeCell ref="B12:C12"/>
    <mergeCell ref="B13:C13"/>
    <mergeCell ref="B14:C14"/>
    <mergeCell ref="B15:C15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3" fitToHeight="0" orientation="portrait" horizontalDpi="300" verticalDpi="300" r:id="rId1"/>
  <headerFooter alignWithMargins="0">
    <oddFooter>&amp;C&amp;P/&amp;N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23A4-CB30-4A4B-9F0D-B3725FD21177}">
  <sheetPr>
    <tabColor theme="9" tint="0.79998168889431442"/>
    <pageSetUpPr fitToPage="1"/>
  </sheetPr>
  <dimension ref="A1:V41"/>
  <sheetViews>
    <sheetView showGridLines="0" view="pageBreakPreview" topLeftCell="A14" zoomScale="91" zoomScaleNormal="70" zoomScaleSheetLayoutView="85" zoomScalePageLayoutView="85" workbookViewId="0">
      <selection activeCell="J20" sqref="J20"/>
    </sheetView>
  </sheetViews>
  <sheetFormatPr defaultColWidth="9" defaultRowHeight="17.399999999999999" x14ac:dyDescent="0.3"/>
  <cols>
    <col min="1" max="1" width="5.6640625" style="7" customWidth="1"/>
    <col min="2" max="2" width="4.33203125" style="7" bestFit="1" customWidth="1"/>
    <col min="3" max="3" width="59.6640625" style="4" customWidth="1"/>
    <col min="4" max="4" width="8.44140625" style="4" customWidth="1"/>
    <col min="5" max="5" width="10.44140625" style="69" bestFit="1" customWidth="1"/>
    <col min="6" max="6" width="14.664062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44140625" style="4" bestFit="1" customWidth="1"/>
    <col min="12" max="13" width="19.6640625" style="4" bestFit="1" customWidth="1"/>
    <col min="14" max="14" width="14.6640625" style="4" bestFit="1" customWidth="1"/>
    <col min="15" max="15" width="17.44140625" style="4" bestFit="1" customWidth="1"/>
    <col min="16" max="16" width="14.6640625" style="4" bestFit="1" customWidth="1"/>
    <col min="17" max="17" width="16" style="208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6"/>
      <c r="G3" s="223"/>
      <c r="H3" s="224"/>
      <c r="I3" s="73"/>
    </row>
    <row r="4" spans="1:22" x14ac:dyDescent="0.3">
      <c r="A4" s="17"/>
      <c r="B4" s="3"/>
      <c r="D4" s="7"/>
      <c r="E4" s="72"/>
      <c r="F4" s="19"/>
      <c r="G4" s="19"/>
      <c r="H4" s="20"/>
    </row>
    <row r="5" spans="1:22" x14ac:dyDescent="0.3">
      <c r="A5" s="17"/>
      <c r="B5" s="3"/>
      <c r="D5" s="7"/>
      <c r="E5" s="72"/>
      <c r="F5" s="19"/>
      <c r="G5" s="73"/>
      <c r="H5" s="74"/>
      <c r="I5" s="73"/>
    </row>
    <row r="6" spans="1:22" x14ac:dyDescent="0.3">
      <c r="A6" s="17"/>
      <c r="B6" s="3"/>
      <c r="D6" s="7"/>
      <c r="E6" s="72"/>
      <c r="G6" s="73"/>
      <c r="H6" s="74"/>
      <c r="I6" s="73"/>
    </row>
    <row r="7" spans="1:22" x14ac:dyDescent="0.3">
      <c r="A7" s="17"/>
      <c r="B7" s="3"/>
      <c r="D7" s="7"/>
      <c r="E7" s="72"/>
      <c r="F7" s="19" t="s">
        <v>21</v>
      </c>
      <c r="G7" s="73"/>
      <c r="H7" s="74"/>
      <c r="I7" s="73"/>
    </row>
    <row r="8" spans="1:22" x14ac:dyDescent="0.3">
      <c r="A8" s="17"/>
      <c r="B8" s="3"/>
      <c r="D8" s="7"/>
      <c r="E8" s="72"/>
      <c r="F8" s="19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22" t="s">
        <v>25</v>
      </c>
      <c r="G10" s="73"/>
      <c r="H10" s="74"/>
      <c r="I10" s="73"/>
    </row>
    <row r="11" spans="1:22" ht="22.2" customHeight="1" x14ac:dyDescent="0.3">
      <c r="A11" s="23" t="s">
        <v>26</v>
      </c>
      <c r="B11" s="24"/>
      <c r="C11" s="24"/>
      <c r="D11" s="25"/>
      <c r="E11" s="62"/>
      <c r="F11" s="19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209" t="s">
        <v>558</v>
      </c>
      <c r="R12" s="161">
        <v>1.35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s="139" customFormat="1" ht="60" customHeight="1" x14ac:dyDescent="0.3">
      <c r="A13" s="28">
        <f>ROW()-12</f>
        <v>1</v>
      </c>
      <c r="B13" s="220" t="s">
        <v>440</v>
      </c>
      <c r="C13" s="221"/>
      <c r="D13" s="28" t="s">
        <v>252</v>
      </c>
      <c r="E13" s="37">
        <v>1</v>
      </c>
      <c r="F13" s="94">
        <v>1500</v>
      </c>
      <c r="G13" s="42">
        <f t="shared" ref="G13:G27" si="0">E13*F13</f>
        <v>1500</v>
      </c>
      <c r="H13" s="28" t="s">
        <v>566</v>
      </c>
      <c r="I13" s="7"/>
      <c r="J13" s="28"/>
      <c r="K13" s="28">
        <f>0.01*500+20</f>
        <v>25</v>
      </c>
      <c r="L13" s="28"/>
      <c r="M13" s="28"/>
      <c r="N13" s="166">
        <f t="shared" ref="N13:N25" si="1">ROUNDUP(E13*L13/S13,0)*T13+ROUNDUP(E13*M13/U13,0)*V13</f>
        <v>0</v>
      </c>
      <c r="O13" s="163">
        <f>4000*0.02</f>
        <v>80</v>
      </c>
      <c r="P13" s="179">
        <f t="shared" ref="P13:P19" si="2">E13*O13</f>
        <v>80</v>
      </c>
      <c r="Q13" s="184">
        <f t="shared" ref="Q13" si="3">(K13+(N13+P13))*$R$12</f>
        <v>141.75</v>
      </c>
      <c r="R13" s="163"/>
      <c r="S13" s="157">
        <v>1</v>
      </c>
      <c r="T13" s="157"/>
      <c r="U13" s="157">
        <v>1</v>
      </c>
      <c r="V13" s="157"/>
    </row>
    <row r="14" spans="1:22" s="139" customFormat="1" ht="60" customHeight="1" x14ac:dyDescent="0.3">
      <c r="A14" s="28">
        <f t="shared" ref="A14:A27" si="4">ROW()-12</f>
        <v>2</v>
      </c>
      <c r="B14" s="220" t="s">
        <v>675</v>
      </c>
      <c r="C14" s="221"/>
      <c r="D14" s="32" t="s">
        <v>252</v>
      </c>
      <c r="E14" s="37">
        <v>30</v>
      </c>
      <c r="F14" s="94">
        <v>2500</v>
      </c>
      <c r="G14" s="42">
        <f t="shared" si="0"/>
        <v>75000</v>
      </c>
      <c r="H14" s="28" t="s">
        <v>566</v>
      </c>
      <c r="I14" s="7"/>
      <c r="J14" s="214">
        <f t="shared" ref="J14:J25" si="5">E14*L14/S14</f>
        <v>3.6749999999999998</v>
      </c>
      <c r="K14" s="28"/>
      <c r="L14" s="28">
        <f>0.05*49</f>
        <v>2.4500000000000002</v>
      </c>
      <c r="M14" s="28"/>
      <c r="N14" s="166">
        <f t="shared" si="1"/>
        <v>36000</v>
      </c>
      <c r="O14" s="163">
        <v>600</v>
      </c>
      <c r="P14" s="179">
        <f t="shared" si="2"/>
        <v>18000</v>
      </c>
      <c r="Q14" s="209">
        <f t="shared" ref="Q14:Q18" si="6">(K14+N14+P14)*($R$12)</f>
        <v>72900</v>
      </c>
      <c r="R14" s="163"/>
      <c r="S14" s="160">
        <v>20</v>
      </c>
      <c r="T14" s="160">
        <f>20*450</f>
        <v>9000</v>
      </c>
      <c r="U14" s="157">
        <v>1</v>
      </c>
      <c r="V14" s="160"/>
    </row>
    <row r="15" spans="1:22" s="139" customFormat="1" ht="60" customHeight="1" x14ac:dyDescent="0.3">
      <c r="A15" s="28">
        <f t="shared" si="4"/>
        <v>3</v>
      </c>
      <c r="B15" s="220" t="s">
        <v>560</v>
      </c>
      <c r="C15" s="221"/>
      <c r="D15" s="32" t="s">
        <v>252</v>
      </c>
      <c r="E15" s="37">
        <v>30</v>
      </c>
      <c r="F15" s="94">
        <v>3000</v>
      </c>
      <c r="G15" s="42">
        <f t="shared" si="0"/>
        <v>90000</v>
      </c>
      <c r="H15" s="28" t="s">
        <v>566</v>
      </c>
      <c r="I15" s="7"/>
      <c r="J15" s="214">
        <f t="shared" si="5"/>
        <v>3.6749999999999998</v>
      </c>
      <c r="K15" s="28"/>
      <c r="L15" s="28">
        <f>0.05*49</f>
        <v>2.4500000000000002</v>
      </c>
      <c r="M15" s="28">
        <v>0.5</v>
      </c>
      <c r="N15" s="166">
        <f t="shared" si="1"/>
        <v>34800</v>
      </c>
      <c r="O15" s="163">
        <v>1000</v>
      </c>
      <c r="P15" s="179">
        <f t="shared" si="2"/>
        <v>30000</v>
      </c>
      <c r="Q15" s="209">
        <f t="shared" si="6"/>
        <v>87480</v>
      </c>
      <c r="R15" s="163"/>
      <c r="S15" s="160">
        <v>20</v>
      </c>
      <c r="T15" s="160">
        <f>315*S15</f>
        <v>6300</v>
      </c>
      <c r="U15" s="160">
        <v>20</v>
      </c>
      <c r="V15" s="160">
        <f>480*U15</f>
        <v>9600</v>
      </c>
    </row>
    <row r="16" spans="1:22" s="139" customFormat="1" ht="60" customHeight="1" x14ac:dyDescent="0.3">
      <c r="A16" s="28">
        <f t="shared" si="4"/>
        <v>4</v>
      </c>
      <c r="B16" s="220" t="s">
        <v>561</v>
      </c>
      <c r="C16" s="221"/>
      <c r="D16" s="28" t="s">
        <v>7</v>
      </c>
      <c r="E16" s="37">
        <v>30</v>
      </c>
      <c r="F16" s="94">
        <v>2500</v>
      </c>
      <c r="G16" s="42">
        <f>E16*F16</f>
        <v>75000</v>
      </c>
      <c r="H16" s="28" t="s">
        <v>566</v>
      </c>
      <c r="I16" s="7"/>
      <c r="J16" s="214">
        <f t="shared" si="5"/>
        <v>0.5</v>
      </c>
      <c r="K16" s="28"/>
      <c r="L16" s="28">
        <v>0.3</v>
      </c>
      <c r="M16" s="28">
        <v>0.3</v>
      </c>
      <c r="N16" s="166">
        <f t="shared" si="1"/>
        <v>15270</v>
      </c>
      <c r="O16" s="163"/>
      <c r="P16" s="179">
        <f t="shared" si="2"/>
        <v>0</v>
      </c>
      <c r="Q16" s="209">
        <f t="shared" si="6"/>
        <v>20614.5</v>
      </c>
      <c r="R16" s="163"/>
      <c r="S16" s="160">
        <v>18</v>
      </c>
      <c r="T16" s="160">
        <f>315*S16</f>
        <v>5670</v>
      </c>
      <c r="U16" s="160">
        <v>20</v>
      </c>
      <c r="V16" s="160">
        <f>480*U16</f>
        <v>9600</v>
      </c>
    </row>
    <row r="17" spans="1:22" s="139" customFormat="1" ht="60" customHeight="1" x14ac:dyDescent="0.3">
      <c r="A17" s="28">
        <f t="shared" si="4"/>
        <v>5</v>
      </c>
      <c r="B17" s="220" t="s">
        <v>580</v>
      </c>
      <c r="C17" s="221"/>
      <c r="D17" s="28" t="s">
        <v>7</v>
      </c>
      <c r="E17" s="37">
        <v>1</v>
      </c>
      <c r="F17" s="94">
        <v>2500</v>
      </c>
      <c r="G17" s="42">
        <f>E17*F17</f>
        <v>2500</v>
      </c>
      <c r="H17" s="28" t="s">
        <v>566</v>
      </c>
      <c r="I17" s="7"/>
      <c r="J17" s="214">
        <f t="shared" si="5"/>
        <v>2.5000000000000001E-2</v>
      </c>
      <c r="K17" s="28"/>
      <c r="L17" s="28">
        <v>0.5</v>
      </c>
      <c r="M17" s="28"/>
      <c r="N17" s="166">
        <f t="shared" si="1"/>
        <v>9600</v>
      </c>
      <c r="O17" s="163"/>
      <c r="P17" s="179">
        <f t="shared" si="2"/>
        <v>0</v>
      </c>
      <c r="Q17" s="209">
        <f t="shared" si="6"/>
        <v>12960</v>
      </c>
      <c r="R17" s="163"/>
      <c r="S17" s="160">
        <v>20</v>
      </c>
      <c r="T17" s="160">
        <f>480*S17</f>
        <v>9600</v>
      </c>
      <c r="U17" s="160">
        <v>1</v>
      </c>
      <c r="V17" s="160"/>
    </row>
    <row r="18" spans="1:22" s="139" customFormat="1" ht="60" customHeight="1" x14ac:dyDescent="0.3">
      <c r="A18" s="28">
        <f t="shared" si="4"/>
        <v>6</v>
      </c>
      <c r="B18" s="220" t="s">
        <v>676</v>
      </c>
      <c r="C18" s="221"/>
      <c r="D18" s="28" t="s">
        <v>3</v>
      </c>
      <c r="E18" s="37">
        <v>1</v>
      </c>
      <c r="F18" s="94">
        <v>1800</v>
      </c>
      <c r="G18" s="42">
        <f t="shared" si="0"/>
        <v>1800</v>
      </c>
      <c r="H18" s="28" t="s">
        <v>566</v>
      </c>
      <c r="I18" s="7"/>
      <c r="J18" s="214">
        <f t="shared" si="5"/>
        <v>1.4499999999999999E-2</v>
      </c>
      <c r="K18" s="28"/>
      <c r="L18" s="28">
        <v>0.14499999999999999</v>
      </c>
      <c r="M18" s="28"/>
      <c r="N18" s="166">
        <f t="shared" si="1"/>
        <v>4500</v>
      </c>
      <c r="O18" s="163"/>
      <c r="P18" s="179">
        <f t="shared" si="2"/>
        <v>0</v>
      </c>
      <c r="Q18" s="209">
        <f t="shared" si="6"/>
        <v>6075</v>
      </c>
      <c r="R18" s="163"/>
      <c r="S18" s="160">
        <v>10</v>
      </c>
      <c r="T18" s="160">
        <f>450*10</f>
        <v>4500</v>
      </c>
      <c r="U18" s="160">
        <v>1</v>
      </c>
      <c r="V18" s="160"/>
    </row>
    <row r="19" spans="1:22" s="139" customFormat="1" ht="60" customHeight="1" x14ac:dyDescent="0.3">
      <c r="A19" s="28">
        <f t="shared" si="4"/>
        <v>7</v>
      </c>
      <c r="B19" s="220" t="s">
        <v>423</v>
      </c>
      <c r="C19" s="221"/>
      <c r="D19" s="32" t="s">
        <v>252</v>
      </c>
      <c r="E19" s="37">
        <v>1</v>
      </c>
      <c r="F19" s="94">
        <v>1000</v>
      </c>
      <c r="G19" s="42">
        <f t="shared" si="0"/>
        <v>1000</v>
      </c>
      <c r="H19" s="28"/>
      <c r="I19" s="7"/>
      <c r="J19" s="214">
        <f t="shared" si="5"/>
        <v>0.08</v>
      </c>
      <c r="K19" s="28"/>
      <c r="L19" s="28">
        <v>2</v>
      </c>
      <c r="M19" s="28"/>
      <c r="N19" s="166">
        <f t="shared" si="1"/>
        <v>2700</v>
      </c>
      <c r="O19" s="163"/>
      <c r="P19" s="179">
        <f t="shared" si="2"/>
        <v>0</v>
      </c>
      <c r="Q19" s="209"/>
      <c r="R19" s="163"/>
      <c r="S19" s="168">
        <v>25</v>
      </c>
      <c r="T19" s="157">
        <v>2700</v>
      </c>
      <c r="U19" s="168">
        <v>25</v>
      </c>
      <c r="V19" s="157">
        <v>2700</v>
      </c>
    </row>
    <row r="20" spans="1:22" s="139" customFormat="1" ht="60" customHeight="1" x14ac:dyDescent="0.3">
      <c r="A20" s="28">
        <f t="shared" si="4"/>
        <v>8</v>
      </c>
      <c r="B20" s="220" t="s">
        <v>564</v>
      </c>
      <c r="C20" s="221"/>
      <c r="D20" s="32" t="s">
        <v>252</v>
      </c>
      <c r="E20" s="37">
        <v>1</v>
      </c>
      <c r="F20" s="94">
        <v>1200</v>
      </c>
      <c r="G20" s="42">
        <f t="shared" si="0"/>
        <v>1200</v>
      </c>
      <c r="H20" s="28"/>
      <c r="I20" s="7">
        <v>0.5</v>
      </c>
      <c r="J20" s="214">
        <f t="shared" si="5"/>
        <v>2.5000000000000001E-2</v>
      </c>
      <c r="K20" s="28"/>
      <c r="L20" s="28">
        <v>0.25</v>
      </c>
      <c r="M20" s="28">
        <v>0.25</v>
      </c>
      <c r="N20" s="166">
        <f t="shared" si="1"/>
        <v>8260</v>
      </c>
      <c r="O20" s="163"/>
      <c r="P20" s="179">
        <f>4000</f>
        <v>4000</v>
      </c>
      <c r="Q20" s="211">
        <f>(K20+(N20+P20))*$R$12</f>
        <v>16551</v>
      </c>
      <c r="R20" s="163"/>
      <c r="S20" s="168">
        <v>10</v>
      </c>
      <c r="T20" s="157">
        <v>4130</v>
      </c>
      <c r="U20" s="168">
        <v>10</v>
      </c>
      <c r="V20" s="157">
        <v>4130</v>
      </c>
    </row>
    <row r="21" spans="1:22" s="139" customFormat="1" ht="60" customHeight="1" x14ac:dyDescent="0.3">
      <c r="A21" s="28">
        <f t="shared" si="4"/>
        <v>9</v>
      </c>
      <c r="B21" s="220" t="s">
        <v>570</v>
      </c>
      <c r="C21" s="221"/>
      <c r="D21" s="28" t="s">
        <v>252</v>
      </c>
      <c r="E21" s="37">
        <v>1</v>
      </c>
      <c r="F21" s="94">
        <v>100</v>
      </c>
      <c r="G21" s="42">
        <f>E21*F21</f>
        <v>100</v>
      </c>
      <c r="H21" s="28"/>
      <c r="I21" s="7"/>
      <c r="J21" s="214" t="e">
        <f t="shared" si="5"/>
        <v>#DIV/0!</v>
      </c>
      <c r="K21" s="28"/>
      <c r="L21" s="28">
        <v>0.8</v>
      </c>
      <c r="M21" s="28"/>
      <c r="N21" s="166" t="e">
        <f t="shared" si="1"/>
        <v>#DIV/0!</v>
      </c>
      <c r="O21" s="163"/>
      <c r="P21" s="179">
        <f>E21*O21</f>
        <v>0</v>
      </c>
      <c r="Q21" s="210" t="e">
        <f>(K21+(N21+P21))*$R$12</f>
        <v>#DIV/0!</v>
      </c>
      <c r="R21" s="163"/>
      <c r="S21" s="157"/>
      <c r="T21" s="157"/>
      <c r="U21" s="157"/>
      <c r="V21" s="157"/>
    </row>
    <row r="22" spans="1:22" s="139" customFormat="1" ht="60" customHeight="1" x14ac:dyDescent="0.3">
      <c r="A22" s="28">
        <f t="shared" si="4"/>
        <v>10</v>
      </c>
      <c r="B22" s="220" t="s">
        <v>565</v>
      </c>
      <c r="C22" s="221"/>
      <c r="D22" s="32" t="s">
        <v>252</v>
      </c>
      <c r="E22" s="37">
        <v>1</v>
      </c>
      <c r="F22" s="94">
        <v>2000</v>
      </c>
      <c r="G22" s="42">
        <f t="shared" si="0"/>
        <v>2000</v>
      </c>
      <c r="H22" s="28"/>
      <c r="I22" s="7">
        <v>1.5</v>
      </c>
      <c r="J22" s="214">
        <f t="shared" si="5"/>
        <v>0.12</v>
      </c>
      <c r="K22" s="28"/>
      <c r="L22" s="28">
        <v>3</v>
      </c>
      <c r="M22" s="28">
        <v>3</v>
      </c>
      <c r="N22" s="166">
        <f t="shared" si="1"/>
        <v>3800</v>
      </c>
      <c r="O22" s="163"/>
      <c r="P22" s="179">
        <f>4000*2</f>
        <v>8000</v>
      </c>
      <c r="Q22" s="211">
        <f>(K22+(N22+P22))*$R$12</f>
        <v>15930.000000000002</v>
      </c>
      <c r="R22" s="163"/>
      <c r="S22" s="157">
        <v>25</v>
      </c>
      <c r="T22" s="157">
        <v>1900</v>
      </c>
      <c r="U22" s="157">
        <v>25</v>
      </c>
      <c r="V22" s="157">
        <v>1900</v>
      </c>
    </row>
    <row r="23" spans="1:22" s="139" customFormat="1" ht="60" customHeight="1" x14ac:dyDescent="0.3">
      <c r="A23" s="28">
        <f t="shared" si="4"/>
        <v>11</v>
      </c>
      <c r="B23" s="220" t="s">
        <v>400</v>
      </c>
      <c r="C23" s="221"/>
      <c r="D23" s="32" t="s">
        <v>252</v>
      </c>
      <c r="E23" s="37">
        <v>1</v>
      </c>
      <c r="F23" s="94">
        <v>120</v>
      </c>
      <c r="G23" s="42">
        <f t="shared" si="0"/>
        <v>120</v>
      </c>
      <c r="H23" s="28"/>
      <c r="I23" s="7"/>
      <c r="J23" s="214" t="e">
        <f t="shared" si="5"/>
        <v>#DIV/0!</v>
      </c>
      <c r="K23" s="28"/>
      <c r="L23" s="28"/>
      <c r="M23" s="28"/>
      <c r="N23" s="166" t="e">
        <f t="shared" si="1"/>
        <v>#DIV/0!</v>
      </c>
      <c r="O23" s="163"/>
      <c r="P23" s="179">
        <f t="shared" ref="P23:P27" si="7">E23*O23</f>
        <v>0</v>
      </c>
      <c r="Q23" s="209"/>
      <c r="R23" s="163"/>
      <c r="S23" s="157"/>
      <c r="T23" s="157"/>
      <c r="U23" s="157"/>
      <c r="V23" s="157"/>
    </row>
    <row r="24" spans="1:22" s="139" customFormat="1" ht="60" customHeight="1" x14ac:dyDescent="0.3">
      <c r="A24" s="28">
        <f t="shared" si="4"/>
        <v>12</v>
      </c>
      <c r="B24" s="220" t="s">
        <v>739</v>
      </c>
      <c r="C24" s="221"/>
      <c r="D24" s="32" t="s">
        <v>252</v>
      </c>
      <c r="E24" s="37">
        <v>1</v>
      </c>
      <c r="F24" s="94">
        <v>1000</v>
      </c>
      <c r="G24" s="42">
        <f t="shared" si="0"/>
        <v>1000</v>
      </c>
      <c r="H24" s="28"/>
      <c r="I24" s="7"/>
      <c r="J24" s="214" t="e">
        <f t="shared" si="5"/>
        <v>#DIV/0!</v>
      </c>
      <c r="K24" s="28"/>
      <c r="L24" s="28"/>
      <c r="M24" s="28"/>
      <c r="N24" s="166" t="e">
        <f t="shared" si="1"/>
        <v>#DIV/0!</v>
      </c>
      <c r="O24" s="163"/>
      <c r="P24" s="179">
        <f t="shared" si="7"/>
        <v>0</v>
      </c>
      <c r="Q24" s="209"/>
      <c r="R24" s="163"/>
      <c r="S24" s="157"/>
      <c r="T24" s="157"/>
      <c r="U24" s="157"/>
      <c r="V24" s="157"/>
    </row>
    <row r="25" spans="1:22" s="139" customFormat="1" ht="60" customHeight="1" x14ac:dyDescent="0.3">
      <c r="A25" s="28">
        <f t="shared" si="4"/>
        <v>13</v>
      </c>
      <c r="B25" s="220" t="s">
        <v>740</v>
      </c>
      <c r="C25" s="221"/>
      <c r="D25" s="28" t="s">
        <v>13</v>
      </c>
      <c r="E25" s="37">
        <v>1</v>
      </c>
      <c r="F25" s="94">
        <v>5000</v>
      </c>
      <c r="G25" s="42">
        <f t="shared" si="0"/>
        <v>5000</v>
      </c>
      <c r="H25" s="28"/>
      <c r="I25" s="7"/>
      <c r="J25" s="214">
        <f t="shared" si="5"/>
        <v>0.5</v>
      </c>
      <c r="K25" s="28"/>
      <c r="L25" s="28">
        <v>2.5</v>
      </c>
      <c r="M25" s="28"/>
      <c r="N25" s="166">
        <f t="shared" si="1"/>
        <v>316</v>
      </c>
      <c r="O25" s="163"/>
      <c r="P25" s="179">
        <f t="shared" si="7"/>
        <v>0</v>
      </c>
      <c r="Q25" s="209"/>
      <c r="R25" s="163"/>
      <c r="S25" s="157">
        <v>5</v>
      </c>
      <c r="T25" s="157">
        <v>316</v>
      </c>
      <c r="U25" s="157">
        <v>5</v>
      </c>
      <c r="V25" s="157">
        <v>316</v>
      </c>
    </row>
    <row r="26" spans="1:22" s="145" customFormat="1" ht="79.95" customHeight="1" x14ac:dyDescent="0.3">
      <c r="A26" s="28">
        <f t="shared" si="4"/>
        <v>14</v>
      </c>
      <c r="B26" s="220" t="s">
        <v>663</v>
      </c>
      <c r="C26" s="221"/>
      <c r="D26" s="28" t="s">
        <v>11</v>
      </c>
      <c r="E26" s="37">
        <v>1</v>
      </c>
      <c r="F26" s="94">
        <f>SUM(G13:G25)*0.1</f>
        <v>25622</v>
      </c>
      <c r="G26" s="42">
        <f t="shared" si="0"/>
        <v>25622</v>
      </c>
      <c r="H26" s="28"/>
      <c r="I26" s="7"/>
      <c r="J26" s="170"/>
      <c r="K26" s="170"/>
      <c r="L26" s="170"/>
      <c r="M26" s="170"/>
      <c r="N26" s="166" t="e">
        <f>ROUNDUP(E26*L26/S26,0)*T26+ROUNDUP(E26*M26/U26,0)*V26</f>
        <v>#DIV/0!</v>
      </c>
      <c r="O26" s="171"/>
      <c r="P26" s="179">
        <f t="shared" si="7"/>
        <v>0</v>
      </c>
      <c r="Q26" s="212"/>
      <c r="R26" s="171"/>
      <c r="S26" s="172"/>
      <c r="T26" s="172"/>
      <c r="U26" s="172"/>
      <c r="V26" s="172"/>
    </row>
    <row r="27" spans="1:22" s="145" customFormat="1" ht="60" customHeight="1" x14ac:dyDescent="0.3">
      <c r="A27" s="28">
        <f t="shared" si="4"/>
        <v>15</v>
      </c>
      <c r="B27" s="220" t="s">
        <v>556</v>
      </c>
      <c r="C27" s="221"/>
      <c r="D27" s="28" t="s">
        <v>11</v>
      </c>
      <c r="E27" s="37">
        <v>1</v>
      </c>
      <c r="F27" s="190">
        <v>-1000</v>
      </c>
      <c r="G27" s="47">
        <f t="shared" si="0"/>
        <v>-1000</v>
      </c>
      <c r="H27" s="28"/>
      <c r="I27" s="7"/>
      <c r="J27" s="170"/>
      <c r="K27" s="170"/>
      <c r="L27" s="170"/>
      <c r="M27" s="170"/>
      <c r="N27" s="166" t="e">
        <f>ROUNDUP(E27*L27/S27,0)*T27+ROUNDUP(E27*M27/U27,0)*V27</f>
        <v>#DIV/0!</v>
      </c>
      <c r="O27" s="171"/>
      <c r="P27" s="179">
        <f t="shared" si="7"/>
        <v>0</v>
      </c>
      <c r="Q27" s="212"/>
      <c r="R27" s="171"/>
      <c r="S27" s="172"/>
      <c r="T27" s="172"/>
      <c r="U27" s="172"/>
      <c r="V27" s="172"/>
    </row>
    <row r="28" spans="1:22" s="145" customFormat="1" x14ac:dyDescent="0.3">
      <c r="A28" s="28"/>
      <c r="B28" s="215" t="s">
        <v>481</v>
      </c>
      <c r="C28" s="216"/>
      <c r="D28" s="28"/>
      <c r="E28" s="37"/>
      <c r="F28" s="94"/>
      <c r="G28" s="156">
        <f>SUM(G13:G27)</f>
        <v>280842</v>
      </c>
      <c r="H28" s="28"/>
      <c r="I28" s="7"/>
      <c r="J28" s="170"/>
      <c r="K28" s="170"/>
      <c r="L28" s="170"/>
      <c r="M28" s="170"/>
      <c r="N28" s="171"/>
      <c r="O28" s="171"/>
      <c r="P28" s="171"/>
      <c r="Q28" s="212"/>
      <c r="R28" s="171"/>
      <c r="S28" s="172"/>
      <c r="T28" s="172"/>
      <c r="U28" s="172"/>
      <c r="V28" s="172"/>
    </row>
    <row r="29" spans="1:22" s="145" customFormat="1" x14ac:dyDescent="0.3">
      <c r="A29" s="28"/>
      <c r="B29" s="215" t="s">
        <v>482</v>
      </c>
      <c r="C29" s="216"/>
      <c r="D29" s="28"/>
      <c r="E29" s="37"/>
      <c r="F29" s="94"/>
      <c r="G29" s="156">
        <f>G28*0.05</f>
        <v>14042.1</v>
      </c>
      <c r="H29" s="28"/>
      <c r="I29" s="7"/>
      <c r="J29" s="170"/>
      <c r="K29" s="170"/>
      <c r="L29" s="170"/>
      <c r="M29" s="170"/>
      <c r="N29" s="171"/>
      <c r="O29" s="171"/>
      <c r="P29" s="171"/>
      <c r="Q29" s="212"/>
      <c r="R29" s="171"/>
      <c r="S29" s="172"/>
      <c r="T29" s="172"/>
      <c r="U29" s="172"/>
      <c r="V29" s="172"/>
    </row>
    <row r="30" spans="1:22" ht="30" customHeight="1" x14ac:dyDescent="0.3">
      <c r="A30" s="28"/>
      <c r="B30" s="238" t="s">
        <v>16</v>
      </c>
      <c r="C30" s="239"/>
      <c r="D30" s="28"/>
      <c r="E30" s="68"/>
      <c r="F30" s="49"/>
      <c r="G30" s="155">
        <f>G28+G29</f>
        <v>294884.09999999998</v>
      </c>
      <c r="H30" s="78"/>
      <c r="I30" s="159"/>
      <c r="J30" s="28"/>
      <c r="K30" s="28"/>
      <c r="L30" s="28"/>
      <c r="M30" s="28"/>
      <c r="N30" s="28"/>
      <c r="O30" s="43"/>
      <c r="P30" s="43"/>
      <c r="Q30" s="213"/>
      <c r="R30" s="43"/>
      <c r="S30" s="28"/>
      <c r="T30" s="28"/>
      <c r="U30" s="28"/>
      <c r="V30" s="28"/>
    </row>
    <row r="31" spans="1:22" x14ac:dyDescent="0.3">
      <c r="A31" s="228" t="s">
        <v>17</v>
      </c>
      <c r="B31" s="193">
        <f>ROW()-30</f>
        <v>1</v>
      </c>
      <c r="C31" s="227" t="s">
        <v>600</v>
      </c>
      <c r="D31" s="227"/>
      <c r="E31" s="227"/>
      <c r="F31" s="227"/>
      <c r="G31" s="227"/>
      <c r="H31" s="227"/>
      <c r="J31" s="43"/>
      <c r="K31" s="43"/>
      <c r="L31" s="43"/>
      <c r="M31" s="43"/>
      <c r="N31" s="43"/>
      <c r="O31" s="43"/>
      <c r="P31" s="43"/>
      <c r="Q31" s="213"/>
      <c r="R31" s="43"/>
      <c r="S31" s="28"/>
      <c r="T31" s="28"/>
      <c r="U31" s="28"/>
      <c r="V31" s="28"/>
    </row>
    <row r="32" spans="1:22" x14ac:dyDescent="0.3">
      <c r="A32" s="228"/>
      <c r="B32" s="193">
        <f t="shared" ref="B32:B38" si="8">ROW()-30</f>
        <v>2</v>
      </c>
      <c r="C32" s="227" t="s">
        <v>601</v>
      </c>
      <c r="D32" s="227"/>
      <c r="E32" s="227"/>
      <c r="F32" s="227"/>
      <c r="G32" s="227"/>
      <c r="H32" s="227"/>
      <c r="J32" s="43"/>
      <c r="K32" s="43"/>
      <c r="L32" s="43"/>
      <c r="M32" s="43"/>
      <c r="N32" s="43"/>
      <c r="O32" s="43"/>
      <c r="P32" s="43"/>
      <c r="Q32" s="213"/>
      <c r="R32" s="43"/>
      <c r="S32" s="28"/>
      <c r="T32" s="28"/>
      <c r="U32" s="28"/>
      <c r="V32" s="28"/>
    </row>
    <row r="33" spans="1:22" x14ac:dyDescent="0.3">
      <c r="A33" s="228"/>
      <c r="B33" s="193">
        <f t="shared" si="8"/>
        <v>3</v>
      </c>
      <c r="C33" s="230" t="s">
        <v>595</v>
      </c>
      <c r="D33" s="227"/>
      <c r="E33" s="227"/>
      <c r="F33" s="227"/>
      <c r="G33" s="227"/>
      <c r="H33" s="227"/>
      <c r="J33" s="43"/>
      <c r="K33" s="43"/>
      <c r="L33" s="43"/>
      <c r="M33" s="43"/>
      <c r="N33" s="43"/>
      <c r="O33" s="43"/>
      <c r="P33" s="43"/>
      <c r="Q33" s="213"/>
      <c r="R33" s="43"/>
      <c r="S33" s="28"/>
      <c r="T33" s="28"/>
      <c r="U33" s="28"/>
      <c r="V33" s="28"/>
    </row>
    <row r="34" spans="1:22" x14ac:dyDescent="0.3">
      <c r="A34" s="228"/>
      <c r="B34" s="193">
        <f t="shared" si="8"/>
        <v>4</v>
      </c>
      <c r="C34" s="227" t="s">
        <v>596</v>
      </c>
      <c r="D34" s="227"/>
      <c r="E34" s="227"/>
      <c r="F34" s="227"/>
      <c r="G34" s="227"/>
      <c r="H34" s="227"/>
      <c r="J34" s="77"/>
      <c r="K34" s="77"/>
      <c r="L34" s="77"/>
      <c r="M34" s="77"/>
      <c r="N34" s="43"/>
      <c r="O34" s="43"/>
      <c r="P34" s="43"/>
      <c r="Q34" s="213"/>
      <c r="R34" s="43"/>
      <c r="S34" s="28"/>
      <c r="T34" s="28"/>
      <c r="U34" s="28"/>
      <c r="V34" s="28"/>
    </row>
    <row r="35" spans="1:22" x14ac:dyDescent="0.3">
      <c r="A35" s="228"/>
      <c r="B35" s="193">
        <f t="shared" si="8"/>
        <v>5</v>
      </c>
      <c r="C35" s="227" t="s">
        <v>597</v>
      </c>
      <c r="D35" s="227"/>
      <c r="E35" s="227"/>
      <c r="F35" s="227"/>
      <c r="G35" s="227"/>
      <c r="H35" s="227"/>
      <c r="J35" s="43"/>
      <c r="K35" s="43"/>
      <c r="L35" s="43"/>
      <c r="M35" s="43"/>
      <c r="N35" s="43"/>
      <c r="O35" s="43"/>
      <c r="P35" s="43"/>
      <c r="Q35" s="213"/>
      <c r="R35" s="43"/>
      <c r="S35" s="28"/>
      <c r="T35" s="28"/>
      <c r="U35" s="28"/>
      <c r="V35" s="28"/>
    </row>
    <row r="36" spans="1:22" x14ac:dyDescent="0.3">
      <c r="A36" s="228"/>
      <c r="B36" s="193">
        <f t="shared" si="8"/>
        <v>6</v>
      </c>
      <c r="C36" s="233" t="s">
        <v>662</v>
      </c>
      <c r="D36" s="234"/>
      <c r="E36" s="234"/>
      <c r="F36" s="234"/>
      <c r="G36" s="234"/>
      <c r="H36" s="235"/>
      <c r="J36" s="43"/>
      <c r="K36" s="43"/>
      <c r="L36" s="43"/>
      <c r="M36" s="43"/>
      <c r="N36" s="43"/>
      <c r="O36" s="43"/>
      <c r="P36" s="43"/>
      <c r="Q36" s="213"/>
      <c r="R36" s="43"/>
      <c r="S36" s="28"/>
      <c r="T36" s="28"/>
      <c r="U36" s="28"/>
      <c r="V36" s="28"/>
    </row>
    <row r="37" spans="1:22" x14ac:dyDescent="0.3">
      <c r="A37" s="228"/>
      <c r="B37" s="193">
        <f t="shared" si="8"/>
        <v>7</v>
      </c>
      <c r="C37" s="227" t="s">
        <v>598</v>
      </c>
      <c r="D37" s="227"/>
      <c r="E37" s="227"/>
      <c r="F37" s="227"/>
      <c r="G37" s="227"/>
      <c r="H37" s="227"/>
      <c r="J37" s="43"/>
      <c r="K37" s="43"/>
      <c r="L37" s="43"/>
      <c r="M37" s="43"/>
      <c r="N37" s="43"/>
      <c r="O37" s="43"/>
      <c r="P37" s="43"/>
      <c r="Q37" s="213"/>
      <c r="R37" s="43"/>
      <c r="S37" s="28"/>
      <c r="T37" s="28"/>
      <c r="U37" s="28"/>
      <c r="V37" s="28"/>
    </row>
    <row r="38" spans="1:22" x14ac:dyDescent="0.3">
      <c r="A38" s="229"/>
      <c r="B38" s="193">
        <f t="shared" si="8"/>
        <v>8</v>
      </c>
      <c r="C38" s="227" t="s">
        <v>599</v>
      </c>
      <c r="D38" s="227"/>
      <c r="E38" s="227"/>
      <c r="F38" s="227"/>
      <c r="G38" s="227"/>
      <c r="H38" s="227"/>
      <c r="J38" s="43"/>
      <c r="K38" s="43"/>
      <c r="L38" s="43"/>
      <c r="M38" s="43"/>
      <c r="N38" s="43"/>
      <c r="O38" s="43"/>
      <c r="P38" s="43"/>
      <c r="Q38" s="213"/>
      <c r="R38" s="43"/>
      <c r="S38" s="28"/>
      <c r="T38" s="28"/>
      <c r="U38" s="28"/>
      <c r="V38" s="28"/>
    </row>
    <row r="39" spans="1:22" x14ac:dyDescent="0.3">
      <c r="A39" s="17" t="s">
        <v>49</v>
      </c>
      <c r="B39" s="3"/>
      <c r="H39" s="20"/>
      <c r="J39" s="43"/>
      <c r="K39" s="43"/>
      <c r="L39" s="43"/>
      <c r="M39" s="43"/>
      <c r="N39" s="43"/>
      <c r="O39" s="43"/>
      <c r="P39" s="43"/>
      <c r="Q39" s="213"/>
      <c r="R39" s="43"/>
      <c r="S39" s="28"/>
      <c r="T39" s="28"/>
      <c r="U39" s="28"/>
      <c r="V39" s="28"/>
    </row>
    <row r="40" spans="1:22" x14ac:dyDescent="0.3">
      <c r="A40" s="17" t="s">
        <v>535</v>
      </c>
      <c r="B40" s="3"/>
      <c r="H40" s="20"/>
      <c r="J40" s="43"/>
      <c r="K40" s="43"/>
      <c r="L40" s="43"/>
      <c r="M40" s="43"/>
      <c r="N40" s="43"/>
      <c r="O40" s="43"/>
      <c r="P40" s="43"/>
      <c r="Q40" s="213"/>
      <c r="R40" s="43"/>
      <c r="S40" s="28"/>
      <c r="T40" s="28"/>
      <c r="U40" s="28"/>
      <c r="V40" s="28"/>
    </row>
    <row r="41" spans="1:22" x14ac:dyDescent="0.3">
      <c r="A41" s="154" t="s">
        <v>250</v>
      </c>
      <c r="B41" s="192"/>
      <c r="C41" s="24"/>
      <c r="D41" s="24"/>
      <c r="E41" s="84"/>
      <c r="F41" s="85"/>
      <c r="G41" s="86"/>
      <c r="H41" s="87"/>
      <c r="J41" s="43"/>
      <c r="K41" s="43"/>
      <c r="L41" s="43"/>
      <c r="M41" s="43"/>
      <c r="N41" s="43"/>
      <c r="O41" s="43"/>
      <c r="P41" s="43"/>
      <c r="Q41" s="213"/>
      <c r="R41" s="43"/>
      <c r="S41" s="28"/>
      <c r="T41" s="28"/>
      <c r="U41" s="28"/>
      <c r="V41" s="28"/>
    </row>
  </sheetData>
  <mergeCells count="30">
    <mergeCell ref="B20:C20"/>
    <mergeCell ref="A1:H1"/>
    <mergeCell ref="G3:H3"/>
    <mergeCell ref="B12:C12"/>
    <mergeCell ref="B13:C13"/>
    <mergeCell ref="B14:C14"/>
    <mergeCell ref="B15:C15"/>
    <mergeCell ref="B16:C16"/>
    <mergeCell ref="B17:C17"/>
    <mergeCell ref="B18:C18"/>
    <mergeCell ref="B19:C19"/>
    <mergeCell ref="B28:C28"/>
    <mergeCell ref="B29:C29"/>
    <mergeCell ref="B27:C27"/>
    <mergeCell ref="B21:C21"/>
    <mergeCell ref="B22:C22"/>
    <mergeCell ref="B23:C23"/>
    <mergeCell ref="B24:C24"/>
    <mergeCell ref="B25:C25"/>
    <mergeCell ref="B26:C26"/>
    <mergeCell ref="B30:C30"/>
    <mergeCell ref="A31:A38"/>
    <mergeCell ref="C31:H31"/>
    <mergeCell ref="C32:H32"/>
    <mergeCell ref="C33:H33"/>
    <mergeCell ref="C34:H34"/>
    <mergeCell ref="C35:H35"/>
    <mergeCell ref="C36:H36"/>
    <mergeCell ref="C37:H37"/>
    <mergeCell ref="C38:H38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3" fitToHeight="0" orientation="portrait" horizontalDpi="300" verticalDpi="300" r:id="rId1"/>
  <headerFooter alignWithMargins="0">
    <oddFooter>&amp;C&amp;P/&amp;N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5A38-42A8-B242-8F52-C07785ACF5E8}">
  <sheetPr>
    <tabColor theme="9" tint="0.79998168889431442"/>
    <pageSetUpPr fitToPage="1"/>
  </sheetPr>
  <dimension ref="A1:V34"/>
  <sheetViews>
    <sheetView showGridLines="0" view="pageBreakPreview" zoomScale="70" zoomScaleNormal="70" zoomScaleSheetLayoutView="70" zoomScalePageLayoutView="85" workbookViewId="0">
      <selection activeCell="F3" sqref="F3"/>
    </sheetView>
  </sheetViews>
  <sheetFormatPr defaultColWidth="9" defaultRowHeight="17.399999999999999" x14ac:dyDescent="0.3"/>
  <cols>
    <col min="1" max="1" width="5.6640625" style="7" customWidth="1"/>
    <col min="2" max="2" width="4.33203125" style="7" bestFit="1" customWidth="1"/>
    <col min="3" max="3" width="59.6640625" style="4" customWidth="1"/>
    <col min="4" max="4" width="8.44140625" style="4" customWidth="1"/>
    <col min="5" max="5" width="10.44140625" style="69" bestFit="1" customWidth="1"/>
    <col min="6" max="6" width="14.6640625" style="59" bestFit="1" customWidth="1"/>
    <col min="7" max="7" width="15" style="60" customWidth="1"/>
    <col min="8" max="8" width="24" style="4" customWidth="1"/>
    <col min="9" max="9" width="6.6640625" style="4" customWidth="1"/>
    <col min="10" max="10" width="17.44140625" style="4" customWidth="1"/>
    <col min="11" max="11" width="17.44140625" style="4" bestFit="1" customWidth="1"/>
    <col min="12" max="13" width="19.6640625" style="4" bestFit="1" customWidth="1"/>
    <col min="14" max="14" width="14.6640625" style="4" bestFit="1" customWidth="1"/>
    <col min="15" max="15" width="17.44140625" style="4" bestFit="1" customWidth="1"/>
    <col min="16" max="16" width="14.6640625" style="4" bestFit="1" customWidth="1"/>
    <col min="17" max="17" width="16" style="181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61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71"/>
      <c r="F3" s="16"/>
      <c r="G3" s="223"/>
      <c r="H3" s="224"/>
      <c r="I3" s="73"/>
    </row>
    <row r="4" spans="1:22" x14ac:dyDescent="0.3">
      <c r="A4" s="17"/>
      <c r="B4" s="3"/>
      <c r="D4" s="7"/>
      <c r="E4" s="72"/>
      <c r="F4" s="19"/>
      <c r="G4" s="19"/>
      <c r="H4" s="20"/>
    </row>
    <row r="5" spans="1:22" x14ac:dyDescent="0.3">
      <c r="A5" s="17"/>
      <c r="B5" s="3"/>
      <c r="D5" s="7"/>
      <c r="E5" s="72"/>
      <c r="F5" s="19"/>
      <c r="G5" s="73"/>
      <c r="H5" s="74"/>
      <c r="I5" s="73"/>
    </row>
    <row r="6" spans="1:22" x14ac:dyDescent="0.3">
      <c r="A6" s="17"/>
      <c r="B6" s="3"/>
      <c r="D6" s="7"/>
      <c r="E6" s="72"/>
      <c r="G6" s="73"/>
      <c r="H6" s="74"/>
      <c r="I6" s="73"/>
    </row>
    <row r="7" spans="1:22" x14ac:dyDescent="0.3">
      <c r="A7" s="17"/>
      <c r="B7" s="3"/>
      <c r="D7" s="7"/>
      <c r="E7" s="72"/>
      <c r="F7" s="19" t="s">
        <v>21</v>
      </c>
      <c r="G7" s="73"/>
      <c r="H7" s="74"/>
      <c r="I7" s="73"/>
    </row>
    <row r="8" spans="1:22" x14ac:dyDescent="0.3">
      <c r="A8" s="17"/>
      <c r="B8" s="3"/>
      <c r="D8" s="7"/>
      <c r="E8" s="72"/>
      <c r="F8" s="19" t="s">
        <v>22</v>
      </c>
      <c r="G8" s="73"/>
      <c r="H8" s="74"/>
      <c r="I8" s="73"/>
    </row>
    <row r="9" spans="1:22" x14ac:dyDescent="0.3">
      <c r="A9" s="21" t="s">
        <v>24</v>
      </c>
      <c r="B9" s="4"/>
      <c r="D9" s="7"/>
      <c r="E9" s="72"/>
      <c r="F9" s="19" t="s">
        <v>23</v>
      </c>
      <c r="G9" s="73"/>
      <c r="H9" s="74"/>
      <c r="I9" s="73"/>
    </row>
    <row r="10" spans="1:22" ht="22.2" customHeight="1" x14ac:dyDescent="0.3">
      <c r="A10" s="21" t="s">
        <v>555</v>
      </c>
      <c r="B10" s="4"/>
      <c r="D10" s="112"/>
      <c r="E10" s="113"/>
      <c r="F10" s="22" t="s">
        <v>25</v>
      </c>
      <c r="G10" s="73"/>
      <c r="H10" s="74"/>
      <c r="I10" s="73"/>
    </row>
    <row r="11" spans="1:22" ht="22.2" customHeight="1" x14ac:dyDescent="0.3">
      <c r="A11" s="23" t="s">
        <v>26</v>
      </c>
      <c r="B11" s="24"/>
      <c r="C11" s="24"/>
      <c r="D11" s="25"/>
      <c r="E11" s="62"/>
      <c r="F11" s="19" t="s">
        <v>222</v>
      </c>
      <c r="G11" s="73"/>
      <c r="H11" s="74"/>
      <c r="I11" s="73"/>
    </row>
    <row r="12" spans="1:22" x14ac:dyDescent="0.3">
      <c r="A12" s="28" t="s">
        <v>28</v>
      </c>
      <c r="B12" s="225" t="s">
        <v>29</v>
      </c>
      <c r="C12" s="226"/>
      <c r="D12" s="28" t="s">
        <v>30</v>
      </c>
      <c r="E12" s="63" t="s">
        <v>31</v>
      </c>
      <c r="F12" s="39" t="s">
        <v>32</v>
      </c>
      <c r="G12" s="29" t="s">
        <v>33</v>
      </c>
      <c r="H12" s="28" t="s">
        <v>17</v>
      </c>
      <c r="I12" s="7"/>
      <c r="J12" s="157" t="s">
        <v>562</v>
      </c>
      <c r="K12" s="157" t="s">
        <v>443</v>
      </c>
      <c r="L12" s="187" t="s">
        <v>578</v>
      </c>
      <c r="M12" s="187" t="s">
        <v>579</v>
      </c>
      <c r="N12" s="162" t="s">
        <v>444</v>
      </c>
      <c r="O12" s="186" t="s">
        <v>557</v>
      </c>
      <c r="P12" s="162" t="s">
        <v>445</v>
      </c>
      <c r="Q12" s="180" t="s">
        <v>558</v>
      </c>
      <c r="R12" s="161">
        <v>1.3</v>
      </c>
      <c r="S12" s="157" t="s">
        <v>574</v>
      </c>
      <c r="T12" s="157" t="s">
        <v>575</v>
      </c>
      <c r="U12" s="157" t="s">
        <v>576</v>
      </c>
      <c r="V12" s="157" t="s">
        <v>577</v>
      </c>
    </row>
    <row r="13" spans="1:22" s="139" customFormat="1" ht="60" customHeight="1" x14ac:dyDescent="0.3">
      <c r="A13" s="28">
        <f>ROW()-12</f>
        <v>1</v>
      </c>
      <c r="B13" s="220" t="s">
        <v>451</v>
      </c>
      <c r="C13" s="221"/>
      <c r="D13" s="28" t="s">
        <v>252</v>
      </c>
      <c r="E13" s="37"/>
      <c r="F13" s="37">
        <v>5000</v>
      </c>
      <c r="G13" s="42">
        <f>E13*F13</f>
        <v>0</v>
      </c>
      <c r="H13" s="28" t="s">
        <v>566</v>
      </c>
      <c r="I13" s="7"/>
      <c r="J13" s="28"/>
      <c r="K13" s="28">
        <f>0.01*500+20</f>
        <v>25</v>
      </c>
      <c r="L13" s="28"/>
      <c r="M13" s="28"/>
      <c r="N13" s="166">
        <f t="shared" ref="N13:N20" si="0">ROUNDUP(E13*L13/S13,0)*T13+ROUNDUP(E13*M13/U13,0)*V13</f>
        <v>0</v>
      </c>
      <c r="O13" s="163">
        <f>4000*0.02</f>
        <v>80</v>
      </c>
      <c r="P13" s="179">
        <f t="shared" ref="P13:P22" si="1">E13*O13</f>
        <v>0</v>
      </c>
      <c r="Q13" s="184">
        <f t="shared" ref="Q13:Q22" si="2">(K13+(N13+P13))*$R$12</f>
        <v>32.5</v>
      </c>
      <c r="R13" s="163"/>
      <c r="S13" s="157">
        <v>1</v>
      </c>
      <c r="T13" s="157"/>
      <c r="U13" s="157">
        <v>1</v>
      </c>
      <c r="V13" s="157"/>
    </row>
    <row r="14" spans="1:22" s="139" customFormat="1" ht="60" customHeight="1" x14ac:dyDescent="0.3">
      <c r="A14" s="28">
        <f t="shared" ref="A14:A22" si="3">ROW()-12</f>
        <v>2</v>
      </c>
      <c r="B14" s="220" t="s">
        <v>452</v>
      </c>
      <c r="C14" s="221"/>
      <c r="D14" s="28" t="s">
        <v>3</v>
      </c>
      <c r="E14" s="37"/>
      <c r="F14" s="37">
        <v>400</v>
      </c>
      <c r="G14" s="42">
        <f t="shared" ref="G14:G20" si="4">E14*F14</f>
        <v>0</v>
      </c>
      <c r="H14" s="28" t="s">
        <v>566</v>
      </c>
      <c r="I14" s="7"/>
      <c r="J14" s="28"/>
      <c r="K14" s="28"/>
      <c r="L14" s="28"/>
      <c r="M14" s="28"/>
      <c r="N14" s="166">
        <f t="shared" si="0"/>
        <v>0</v>
      </c>
      <c r="O14" s="163"/>
      <c r="P14" s="179">
        <f>E14*O14</f>
        <v>0</v>
      </c>
      <c r="Q14" s="189"/>
      <c r="R14" s="163"/>
      <c r="S14" s="157">
        <v>1</v>
      </c>
      <c r="T14" s="157"/>
      <c r="U14" s="157">
        <v>1</v>
      </c>
      <c r="V14" s="157"/>
    </row>
    <row r="15" spans="1:22" s="139" customFormat="1" ht="60" customHeight="1" x14ac:dyDescent="0.3">
      <c r="A15" s="28">
        <f t="shared" si="3"/>
        <v>3</v>
      </c>
      <c r="B15" s="220" t="s">
        <v>453</v>
      </c>
      <c r="C15" s="221"/>
      <c r="D15" s="28" t="s">
        <v>252</v>
      </c>
      <c r="E15" s="37"/>
      <c r="F15" s="37">
        <v>200</v>
      </c>
      <c r="G15" s="42">
        <f t="shared" si="4"/>
        <v>0</v>
      </c>
      <c r="H15" s="28"/>
      <c r="I15" s="7"/>
      <c r="J15" s="173">
        <f>E15*L15/S15</f>
        <v>0</v>
      </c>
      <c r="K15" s="28"/>
      <c r="L15" s="157">
        <v>4</v>
      </c>
      <c r="M15" s="157"/>
      <c r="N15" s="166">
        <f t="shared" si="0"/>
        <v>0</v>
      </c>
      <c r="O15" s="163">
        <v>350</v>
      </c>
      <c r="P15" s="179">
        <f t="shared" si="1"/>
        <v>0</v>
      </c>
      <c r="Q15" s="188">
        <f>(K15+N15+P15)*($R$12)</f>
        <v>0</v>
      </c>
      <c r="R15" s="157"/>
      <c r="S15" s="157">
        <v>30</v>
      </c>
      <c r="T15" s="157">
        <v>425</v>
      </c>
      <c r="U15" s="157">
        <v>1</v>
      </c>
      <c r="V15" s="157"/>
    </row>
    <row r="16" spans="1:22" s="139" customFormat="1" ht="60" customHeight="1" x14ac:dyDescent="0.3">
      <c r="A16" s="28">
        <f t="shared" si="3"/>
        <v>4</v>
      </c>
      <c r="B16" s="220" t="s">
        <v>647</v>
      </c>
      <c r="C16" s="221"/>
      <c r="D16" s="28" t="s">
        <v>252</v>
      </c>
      <c r="E16" s="37"/>
      <c r="F16" s="37">
        <v>400</v>
      </c>
      <c r="G16" s="42">
        <f t="shared" si="4"/>
        <v>0</v>
      </c>
      <c r="H16" s="28"/>
      <c r="I16" s="7"/>
      <c r="J16" s="28">
        <f>ROUNDUP(E16*L16/S16,0)</f>
        <v>0</v>
      </c>
      <c r="K16" s="28"/>
      <c r="L16" s="28">
        <v>1</v>
      </c>
      <c r="M16" s="28"/>
      <c r="N16" s="166">
        <f t="shared" si="0"/>
        <v>0</v>
      </c>
      <c r="O16" s="163">
        <v>0</v>
      </c>
      <c r="P16" s="179">
        <f t="shared" si="1"/>
        <v>0</v>
      </c>
      <c r="Q16" s="184">
        <f t="shared" si="2"/>
        <v>0</v>
      </c>
      <c r="R16" s="163"/>
      <c r="S16" s="157">
        <v>50</v>
      </c>
      <c r="T16" s="157">
        <v>14000</v>
      </c>
      <c r="U16" s="157">
        <v>1</v>
      </c>
      <c r="V16" s="157"/>
    </row>
    <row r="17" spans="1:22" s="139" customFormat="1" ht="60" customHeight="1" x14ac:dyDescent="0.3">
      <c r="A17" s="28">
        <f t="shared" si="3"/>
        <v>5</v>
      </c>
      <c r="B17" s="231" t="s">
        <v>454</v>
      </c>
      <c r="C17" s="232"/>
      <c r="D17" s="28" t="s">
        <v>455</v>
      </c>
      <c r="E17" s="37"/>
      <c r="F17" s="37">
        <v>300</v>
      </c>
      <c r="G17" s="42">
        <f t="shared" si="4"/>
        <v>0</v>
      </c>
      <c r="H17" s="28"/>
      <c r="I17" s="7"/>
      <c r="J17" s="28"/>
      <c r="K17" s="28"/>
      <c r="L17" s="28">
        <v>1</v>
      </c>
      <c r="M17" s="28"/>
      <c r="N17" s="166">
        <f t="shared" si="0"/>
        <v>0</v>
      </c>
      <c r="O17" s="163">
        <f>4000*0.22</f>
        <v>880</v>
      </c>
      <c r="P17" s="179">
        <f t="shared" si="1"/>
        <v>0</v>
      </c>
      <c r="Q17" s="185">
        <f t="shared" si="2"/>
        <v>0</v>
      </c>
      <c r="R17" s="163"/>
      <c r="S17" s="160">
        <v>30</v>
      </c>
      <c r="T17" s="160">
        <v>5000</v>
      </c>
      <c r="U17" s="157">
        <v>1</v>
      </c>
      <c r="V17" s="160"/>
    </row>
    <row r="18" spans="1:22" s="139" customFormat="1" ht="60" customHeight="1" x14ac:dyDescent="0.3">
      <c r="A18" s="28">
        <f t="shared" si="3"/>
        <v>6</v>
      </c>
      <c r="B18" s="231" t="s">
        <v>648</v>
      </c>
      <c r="C18" s="232"/>
      <c r="D18" s="28" t="s">
        <v>455</v>
      </c>
      <c r="E18" s="37"/>
      <c r="F18" s="37">
        <v>2800</v>
      </c>
      <c r="G18" s="42">
        <f t="shared" si="4"/>
        <v>0</v>
      </c>
      <c r="H18" s="28"/>
      <c r="I18" s="7"/>
      <c r="J18" s="28"/>
      <c r="K18" s="28"/>
      <c r="L18" s="28">
        <v>1</v>
      </c>
      <c r="M18" s="28"/>
      <c r="N18" s="166">
        <f t="shared" si="0"/>
        <v>0</v>
      </c>
      <c r="O18" s="163">
        <f>4000*0.1</f>
        <v>400</v>
      </c>
      <c r="P18" s="179">
        <f t="shared" si="1"/>
        <v>0</v>
      </c>
      <c r="Q18" s="184">
        <f t="shared" si="2"/>
        <v>0</v>
      </c>
      <c r="R18" s="163"/>
      <c r="S18" s="157">
        <v>1</v>
      </c>
      <c r="T18" s="157"/>
      <c r="U18" s="157">
        <v>1</v>
      </c>
      <c r="V18" s="157"/>
    </row>
    <row r="19" spans="1:22" s="139" customFormat="1" ht="60" customHeight="1" x14ac:dyDescent="0.3">
      <c r="A19" s="28">
        <f t="shared" si="3"/>
        <v>7</v>
      </c>
      <c r="B19" s="220" t="s">
        <v>649</v>
      </c>
      <c r="C19" s="221"/>
      <c r="D19" s="28" t="s">
        <v>455</v>
      </c>
      <c r="E19" s="37"/>
      <c r="F19" s="37">
        <v>600</v>
      </c>
      <c r="G19" s="42">
        <f t="shared" si="4"/>
        <v>0</v>
      </c>
      <c r="H19" s="28"/>
      <c r="I19" s="7"/>
      <c r="J19" s="28"/>
      <c r="K19" s="28"/>
      <c r="L19" s="28">
        <v>50</v>
      </c>
      <c r="M19" s="28"/>
      <c r="N19" s="166">
        <f t="shared" si="0"/>
        <v>0</v>
      </c>
      <c r="O19" s="163">
        <f>4000*0.135</f>
        <v>540</v>
      </c>
      <c r="P19" s="179">
        <f t="shared" si="1"/>
        <v>0</v>
      </c>
      <c r="Q19" s="184">
        <f t="shared" si="2"/>
        <v>0</v>
      </c>
      <c r="R19" s="163"/>
      <c r="S19" s="157">
        <v>1000</v>
      </c>
      <c r="T19" s="157">
        <v>600</v>
      </c>
      <c r="U19" s="157">
        <v>1</v>
      </c>
      <c r="V19" s="157"/>
    </row>
    <row r="20" spans="1:22" s="139" customFormat="1" ht="60" customHeight="1" x14ac:dyDescent="0.3">
      <c r="A20" s="28">
        <f t="shared" si="3"/>
        <v>8</v>
      </c>
      <c r="B20" s="220" t="s">
        <v>650</v>
      </c>
      <c r="C20" s="221"/>
      <c r="D20" s="28" t="s">
        <v>455</v>
      </c>
      <c r="E20" s="37"/>
      <c r="F20" s="37">
        <v>1000</v>
      </c>
      <c r="G20" s="42">
        <f t="shared" si="4"/>
        <v>0</v>
      </c>
      <c r="H20" s="28"/>
      <c r="I20" s="7"/>
      <c r="J20" s="28"/>
      <c r="K20" s="28"/>
      <c r="L20" s="28">
        <v>12</v>
      </c>
      <c r="M20" s="28"/>
      <c r="N20" s="166">
        <f t="shared" si="0"/>
        <v>0</v>
      </c>
      <c r="O20" s="163">
        <f>4000*0.25</f>
        <v>1000</v>
      </c>
      <c r="P20" s="179">
        <f t="shared" si="1"/>
        <v>0</v>
      </c>
      <c r="Q20" s="184">
        <f t="shared" si="2"/>
        <v>0</v>
      </c>
      <c r="R20" s="163"/>
      <c r="S20" s="164">
        <v>30</v>
      </c>
      <c r="T20" s="157">
        <v>5100</v>
      </c>
      <c r="U20" s="157">
        <v>1</v>
      </c>
      <c r="V20" s="157"/>
    </row>
    <row r="21" spans="1:22" s="139" customFormat="1" ht="60" customHeight="1" x14ac:dyDescent="0.3">
      <c r="A21" s="28">
        <f t="shared" si="3"/>
        <v>9</v>
      </c>
      <c r="B21" s="220" t="s">
        <v>424</v>
      </c>
      <c r="C21" s="221"/>
      <c r="D21" s="28" t="s">
        <v>4</v>
      </c>
      <c r="E21" s="37">
        <v>1</v>
      </c>
      <c r="F21" s="94">
        <f>SUM(G13:G20)*0.1</f>
        <v>0</v>
      </c>
      <c r="G21" s="42">
        <f t="shared" ref="G21:G22" si="5">E21*F21</f>
        <v>0</v>
      </c>
      <c r="H21" s="28"/>
      <c r="I21" s="7"/>
      <c r="J21" s="28"/>
      <c r="K21" s="28"/>
      <c r="L21" s="28">
        <v>0.14499999999999999</v>
      </c>
      <c r="M21" s="28"/>
      <c r="N21" s="166">
        <f t="shared" ref="N21:N22" si="6">ROUNDUP(E21*L21/S21,0)*T21+ROUNDUP(E21*M21/U21,0)*V21</f>
        <v>4500</v>
      </c>
      <c r="O21" s="163"/>
      <c r="P21" s="179">
        <f t="shared" si="1"/>
        <v>0</v>
      </c>
      <c r="Q21" s="184">
        <f t="shared" si="2"/>
        <v>5850</v>
      </c>
      <c r="R21" s="163"/>
      <c r="S21" s="160">
        <v>10</v>
      </c>
      <c r="T21" s="160">
        <f>450*10</f>
        <v>4500</v>
      </c>
      <c r="U21" s="160">
        <v>1</v>
      </c>
      <c r="V21" s="160"/>
    </row>
    <row r="22" spans="1:22" s="139" customFormat="1" ht="60" customHeight="1" x14ac:dyDescent="0.3">
      <c r="A22" s="28">
        <f t="shared" si="3"/>
        <v>10</v>
      </c>
      <c r="B22" s="220" t="s">
        <v>594</v>
      </c>
      <c r="C22" s="221"/>
      <c r="D22" s="28" t="s">
        <v>11</v>
      </c>
      <c r="E22" s="37">
        <v>1</v>
      </c>
      <c r="F22" s="190">
        <v>-1000</v>
      </c>
      <c r="G22" s="190">
        <f t="shared" si="5"/>
        <v>-1000</v>
      </c>
      <c r="H22" s="28"/>
      <c r="I22" s="7"/>
      <c r="J22" s="28"/>
      <c r="K22" s="28"/>
      <c r="L22" s="28">
        <v>150</v>
      </c>
      <c r="M22" s="28"/>
      <c r="N22" s="166">
        <f t="shared" si="6"/>
        <v>150</v>
      </c>
      <c r="O22" s="163"/>
      <c r="P22" s="179">
        <f t="shared" si="1"/>
        <v>0</v>
      </c>
      <c r="Q22" s="184">
        <f t="shared" si="2"/>
        <v>195</v>
      </c>
      <c r="R22" s="163"/>
      <c r="S22" s="157">
        <v>750</v>
      </c>
      <c r="T22" s="165">
        <v>150</v>
      </c>
      <c r="U22" s="160">
        <v>1</v>
      </c>
      <c r="V22" s="165"/>
    </row>
    <row r="23" spans="1:22" s="145" customFormat="1" x14ac:dyDescent="0.3">
      <c r="A23" s="28"/>
      <c r="B23" s="215" t="s">
        <v>481</v>
      </c>
      <c r="C23" s="216"/>
      <c r="D23" s="28"/>
      <c r="E23" s="37"/>
      <c r="F23" s="94"/>
      <c r="G23" s="156">
        <f>SUM(G13:G22)</f>
        <v>-1000</v>
      </c>
      <c r="H23" s="28"/>
      <c r="I23" s="7"/>
      <c r="J23" s="170"/>
      <c r="K23" s="170"/>
      <c r="L23" s="170"/>
      <c r="M23" s="170"/>
      <c r="N23" s="171"/>
      <c r="O23" s="171"/>
      <c r="P23" s="171"/>
      <c r="Q23" s="182"/>
      <c r="R23" s="171"/>
      <c r="S23" s="172"/>
      <c r="T23" s="172"/>
      <c r="U23" s="172"/>
      <c r="V23" s="172"/>
    </row>
    <row r="24" spans="1:22" s="145" customFormat="1" x14ac:dyDescent="0.3">
      <c r="A24" s="28"/>
      <c r="B24" s="215" t="s">
        <v>482</v>
      </c>
      <c r="C24" s="216"/>
      <c r="D24" s="28"/>
      <c r="E24" s="37"/>
      <c r="F24" s="94"/>
      <c r="G24" s="156">
        <f>G23*0.05</f>
        <v>-50</v>
      </c>
      <c r="H24" s="28"/>
      <c r="I24" s="7"/>
      <c r="J24" s="170"/>
      <c r="K24" s="170"/>
      <c r="L24" s="170"/>
      <c r="M24" s="170"/>
      <c r="N24" s="171"/>
      <c r="O24" s="171"/>
      <c r="P24" s="171"/>
      <c r="Q24" s="182"/>
      <c r="R24" s="171"/>
      <c r="S24" s="172"/>
      <c r="T24" s="172"/>
      <c r="U24" s="172"/>
      <c r="V24" s="172"/>
    </row>
    <row r="25" spans="1:22" ht="30" customHeight="1" x14ac:dyDescent="0.3">
      <c r="A25" s="28"/>
      <c r="B25" s="238" t="s">
        <v>16</v>
      </c>
      <c r="C25" s="239"/>
      <c r="D25" s="28"/>
      <c r="E25" s="68"/>
      <c r="F25" s="49"/>
      <c r="G25" s="155">
        <f>G23+G24</f>
        <v>-1050</v>
      </c>
      <c r="H25" s="78"/>
      <c r="I25" s="159"/>
      <c r="J25" s="28"/>
      <c r="K25" s="28"/>
      <c r="L25" s="28"/>
      <c r="M25" s="28"/>
      <c r="N25" s="28"/>
      <c r="O25" s="43"/>
      <c r="P25" s="43"/>
      <c r="Q25" s="183"/>
      <c r="R25" s="43"/>
      <c r="S25" s="28"/>
      <c r="T25" s="28"/>
      <c r="U25" s="28"/>
      <c r="V25" s="28"/>
    </row>
    <row r="26" spans="1:22" x14ac:dyDescent="0.3">
      <c r="A26" s="228" t="s">
        <v>17</v>
      </c>
      <c r="B26" s="193">
        <f>ROW()-25</f>
        <v>1</v>
      </c>
      <c r="C26" s="230" t="s">
        <v>602</v>
      </c>
      <c r="D26" s="227"/>
      <c r="E26" s="227"/>
      <c r="F26" s="227"/>
      <c r="G26" s="227"/>
      <c r="H26" s="227"/>
      <c r="J26" s="43"/>
      <c r="K26" s="43"/>
      <c r="L26" s="43"/>
      <c r="M26" s="43"/>
      <c r="N26" s="43"/>
      <c r="O26" s="43"/>
      <c r="P26" s="43"/>
      <c r="Q26" s="183"/>
      <c r="R26" s="43"/>
      <c r="S26" s="28"/>
      <c r="T26" s="28"/>
      <c r="U26" s="28"/>
      <c r="V26" s="28"/>
    </row>
    <row r="27" spans="1:22" x14ac:dyDescent="0.3">
      <c r="A27" s="228"/>
      <c r="B27" s="193">
        <f t="shared" ref="B27:B31" si="7">ROW()-25</f>
        <v>2</v>
      </c>
      <c r="C27" s="227" t="s">
        <v>596</v>
      </c>
      <c r="D27" s="227"/>
      <c r="E27" s="227"/>
      <c r="F27" s="227"/>
      <c r="G27" s="227"/>
      <c r="H27" s="227"/>
      <c r="J27" s="77"/>
      <c r="K27" s="77"/>
      <c r="L27" s="77"/>
      <c r="M27" s="77"/>
      <c r="N27" s="43"/>
      <c r="O27" s="43"/>
      <c r="P27" s="43"/>
      <c r="Q27" s="183"/>
      <c r="R27" s="43"/>
      <c r="S27" s="28"/>
      <c r="T27" s="28"/>
      <c r="U27" s="28"/>
      <c r="V27" s="28"/>
    </row>
    <row r="28" spans="1:22" x14ac:dyDescent="0.3">
      <c r="A28" s="228"/>
      <c r="B28" s="193">
        <f t="shared" si="7"/>
        <v>3</v>
      </c>
      <c r="C28" s="227" t="s">
        <v>597</v>
      </c>
      <c r="D28" s="227"/>
      <c r="E28" s="227"/>
      <c r="F28" s="227"/>
      <c r="G28" s="227"/>
      <c r="H28" s="227"/>
      <c r="J28" s="43"/>
      <c r="K28" s="43"/>
      <c r="L28" s="43"/>
      <c r="M28" s="43"/>
      <c r="N28" s="43"/>
      <c r="O28" s="43"/>
      <c r="P28" s="43"/>
      <c r="Q28" s="183"/>
      <c r="R28" s="43"/>
      <c r="S28" s="28"/>
      <c r="T28" s="28"/>
      <c r="U28" s="28"/>
      <c r="V28" s="28"/>
    </row>
    <row r="29" spans="1:22" x14ac:dyDescent="0.3">
      <c r="A29" s="228"/>
      <c r="B29" s="193">
        <f t="shared" si="7"/>
        <v>4</v>
      </c>
      <c r="C29" s="233" t="s">
        <v>662</v>
      </c>
      <c r="D29" s="234"/>
      <c r="E29" s="234"/>
      <c r="F29" s="234"/>
      <c r="G29" s="234"/>
      <c r="H29" s="235"/>
      <c r="J29" s="43"/>
      <c r="K29" s="43"/>
      <c r="L29" s="43"/>
      <c r="M29" s="43"/>
      <c r="N29" s="43"/>
      <c r="O29" s="43"/>
      <c r="P29" s="43"/>
      <c r="Q29" s="183"/>
      <c r="R29" s="43"/>
      <c r="S29" s="28"/>
      <c r="T29" s="28"/>
      <c r="U29" s="28"/>
      <c r="V29" s="28"/>
    </row>
    <row r="30" spans="1:22" x14ac:dyDescent="0.3">
      <c r="A30" s="228"/>
      <c r="B30" s="193">
        <f t="shared" si="7"/>
        <v>5</v>
      </c>
      <c r="C30" s="227" t="s">
        <v>598</v>
      </c>
      <c r="D30" s="227"/>
      <c r="E30" s="227"/>
      <c r="F30" s="227"/>
      <c r="G30" s="227"/>
      <c r="H30" s="227"/>
      <c r="J30" s="43"/>
      <c r="K30" s="43"/>
      <c r="L30" s="43"/>
      <c r="M30" s="43"/>
      <c r="N30" s="43"/>
      <c r="O30" s="43"/>
      <c r="P30" s="43"/>
      <c r="Q30" s="183"/>
      <c r="R30" s="43"/>
      <c r="S30" s="28"/>
      <c r="T30" s="28"/>
      <c r="U30" s="28"/>
      <c r="V30" s="28"/>
    </row>
    <row r="31" spans="1:22" x14ac:dyDescent="0.3">
      <c r="A31" s="229"/>
      <c r="B31" s="193">
        <f t="shared" si="7"/>
        <v>6</v>
      </c>
      <c r="C31" s="227" t="s">
        <v>599</v>
      </c>
      <c r="D31" s="227"/>
      <c r="E31" s="227"/>
      <c r="F31" s="227"/>
      <c r="G31" s="227"/>
      <c r="H31" s="227"/>
      <c r="J31" s="43"/>
      <c r="K31" s="43"/>
      <c r="L31" s="43"/>
      <c r="M31" s="43"/>
      <c r="N31" s="43"/>
      <c r="O31" s="43"/>
      <c r="P31" s="43"/>
      <c r="Q31" s="183"/>
      <c r="R31" s="43"/>
      <c r="S31" s="28"/>
      <c r="T31" s="28"/>
      <c r="U31" s="28"/>
      <c r="V31" s="28"/>
    </row>
    <row r="32" spans="1:22" x14ac:dyDescent="0.3">
      <c r="A32" s="17" t="s">
        <v>49</v>
      </c>
      <c r="B32" s="3"/>
      <c r="H32" s="20"/>
      <c r="J32" s="43"/>
      <c r="K32" s="43"/>
      <c r="L32" s="43"/>
      <c r="M32" s="43"/>
      <c r="N32" s="43"/>
      <c r="O32" s="43"/>
      <c r="P32" s="43"/>
      <c r="Q32" s="183"/>
      <c r="R32" s="43"/>
      <c r="S32" s="28"/>
      <c r="T32" s="28"/>
      <c r="U32" s="28"/>
      <c r="V32" s="28"/>
    </row>
    <row r="33" spans="1:22" x14ac:dyDescent="0.3">
      <c r="A33" s="17" t="s">
        <v>535</v>
      </c>
      <c r="B33" s="3"/>
      <c r="H33" s="20"/>
      <c r="J33" s="43"/>
      <c r="K33" s="43"/>
      <c r="L33" s="43"/>
      <c r="M33" s="43"/>
      <c r="N33" s="43"/>
      <c r="O33" s="43"/>
      <c r="P33" s="43"/>
      <c r="Q33" s="183"/>
      <c r="R33" s="43"/>
      <c r="S33" s="28"/>
      <c r="T33" s="28"/>
      <c r="U33" s="28"/>
      <c r="V33" s="28"/>
    </row>
    <row r="34" spans="1:22" x14ac:dyDescent="0.3">
      <c r="A34" s="154" t="s">
        <v>250</v>
      </c>
      <c r="B34" s="192"/>
      <c r="C34" s="24"/>
      <c r="D34" s="24"/>
      <c r="E34" s="84"/>
      <c r="F34" s="85"/>
      <c r="G34" s="86"/>
      <c r="H34" s="87"/>
      <c r="J34" s="43"/>
      <c r="K34" s="43"/>
      <c r="L34" s="43"/>
      <c r="M34" s="43"/>
      <c r="N34" s="43"/>
      <c r="O34" s="43"/>
      <c r="P34" s="43"/>
      <c r="Q34" s="183"/>
      <c r="R34" s="43"/>
      <c r="S34" s="28"/>
      <c r="T34" s="28"/>
      <c r="U34" s="28"/>
      <c r="V34" s="28"/>
    </row>
  </sheetData>
  <mergeCells count="23">
    <mergeCell ref="B23:C23"/>
    <mergeCell ref="B24:C24"/>
    <mergeCell ref="B25:C25"/>
    <mergeCell ref="A26:A31"/>
    <mergeCell ref="C26:H26"/>
    <mergeCell ref="C27:H27"/>
    <mergeCell ref="C28:H28"/>
    <mergeCell ref="C29:H29"/>
    <mergeCell ref="C30:H30"/>
    <mergeCell ref="C31:H31"/>
    <mergeCell ref="B21:C21"/>
    <mergeCell ref="B22:C22"/>
    <mergeCell ref="B16:C16"/>
    <mergeCell ref="B17:C17"/>
    <mergeCell ref="B18:C18"/>
    <mergeCell ref="B19:C19"/>
    <mergeCell ref="B20:C20"/>
    <mergeCell ref="B15:C15"/>
    <mergeCell ref="A1:H1"/>
    <mergeCell ref="G3:H3"/>
    <mergeCell ref="B12:C12"/>
    <mergeCell ref="B13:C13"/>
    <mergeCell ref="B14:C14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3" fitToHeight="0" orientation="portrait" horizontalDpi="300" verticalDpi="300" r:id="rId1"/>
  <headerFooter alignWithMargins="0">
    <oddFooter>&amp;C&amp;P/&amp;N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862D-458E-4817-94DB-79CB509A030F}">
  <sheetPr>
    <tabColor theme="9" tint="0.79998168889431442"/>
    <pageSetUpPr fitToPage="1"/>
  </sheetPr>
  <dimension ref="A1:V31"/>
  <sheetViews>
    <sheetView showGridLines="0" view="pageBreakPreview" topLeftCell="A16" zoomScale="114" zoomScaleNormal="70" zoomScaleSheetLayoutView="70" zoomScalePageLayoutView="85" workbookViewId="0">
      <selection activeCell="C34" sqref="C34"/>
    </sheetView>
  </sheetViews>
  <sheetFormatPr defaultColWidth="9" defaultRowHeight="17.399999999999999" x14ac:dyDescent="0.3"/>
  <cols>
    <col min="1" max="1" width="6" style="7" customWidth="1"/>
    <col min="2" max="2" width="10.6640625" style="7" customWidth="1"/>
    <col min="3" max="3" width="59.6640625" style="4" customWidth="1"/>
    <col min="4" max="4" width="7" style="4" bestFit="1" customWidth="1"/>
    <col min="5" max="5" width="7" style="204" bestFit="1" customWidth="1"/>
    <col min="6" max="6" width="11.6640625" style="59" customWidth="1"/>
    <col min="7" max="7" width="13" style="60" customWidth="1"/>
    <col min="8" max="8" width="24" style="4" customWidth="1"/>
    <col min="9" max="9" width="6.6640625" style="4" customWidth="1"/>
    <col min="10" max="10" width="17.44140625" style="4" customWidth="1"/>
    <col min="11" max="11" width="17.44140625" style="4" bestFit="1" customWidth="1"/>
    <col min="12" max="13" width="19.6640625" style="4" bestFit="1" customWidth="1"/>
    <col min="14" max="14" width="14.6640625" style="4" bestFit="1" customWidth="1"/>
    <col min="15" max="15" width="17.44140625" style="4" bestFit="1" customWidth="1"/>
    <col min="16" max="16" width="14.6640625" style="4" bestFit="1" customWidth="1"/>
    <col min="17" max="17" width="16" style="181" bestFit="1" customWidth="1"/>
    <col min="18" max="18" width="12" style="4" customWidth="1"/>
    <col min="19" max="19" width="26.44140625" style="7" customWidth="1"/>
    <col min="20" max="20" width="14" style="7" customWidth="1"/>
    <col min="21" max="21" width="26.44140625" style="7" customWidth="1"/>
    <col min="22" max="22" width="14" style="7" customWidth="1"/>
    <col min="23" max="23" width="9" style="4" customWidth="1"/>
    <col min="24" max="16384" width="9" style="4"/>
  </cols>
  <sheetData>
    <row r="1" spans="1:22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22" x14ac:dyDescent="0.3">
      <c r="C2" s="8"/>
      <c r="D2" s="8"/>
      <c r="E2" s="198"/>
      <c r="F2" s="38"/>
      <c r="G2" s="9"/>
      <c r="H2" s="10">
        <f ca="1">TODAY()</f>
        <v>46041</v>
      </c>
      <c r="I2" s="10"/>
    </row>
    <row r="3" spans="1:22" x14ac:dyDescent="0.3">
      <c r="A3" s="11"/>
      <c r="B3" s="12"/>
      <c r="C3" s="13"/>
      <c r="D3" s="14"/>
      <c r="E3" s="199"/>
      <c r="F3" s="16"/>
      <c r="G3" s="223"/>
      <c r="H3" s="224"/>
      <c r="I3" s="73"/>
    </row>
    <row r="4" spans="1:22" x14ac:dyDescent="0.3">
      <c r="A4" s="17"/>
      <c r="B4" s="3"/>
      <c r="D4" s="7"/>
      <c r="E4" s="200"/>
      <c r="F4" s="19"/>
      <c r="G4" s="19"/>
      <c r="H4" s="20"/>
    </row>
    <row r="5" spans="1:22" x14ac:dyDescent="0.3">
      <c r="A5" s="17"/>
      <c r="B5" s="3"/>
      <c r="D5" s="7"/>
      <c r="E5" s="200"/>
      <c r="F5" s="19"/>
      <c r="G5" s="73"/>
      <c r="H5" s="74"/>
      <c r="I5" s="73"/>
    </row>
    <row r="6" spans="1:22" x14ac:dyDescent="0.3">
      <c r="A6" s="17"/>
      <c r="B6" s="3"/>
      <c r="D6" s="7"/>
      <c r="E6" s="200"/>
      <c r="G6" s="73"/>
      <c r="H6" s="74"/>
      <c r="I6" s="73"/>
    </row>
    <row r="7" spans="1:22" x14ac:dyDescent="0.3">
      <c r="A7" s="17"/>
      <c r="B7" s="3"/>
      <c r="D7" s="7"/>
      <c r="E7" s="200"/>
      <c r="F7" s="19"/>
      <c r="G7" s="73"/>
      <c r="H7" s="74"/>
      <c r="I7" s="73"/>
    </row>
    <row r="8" spans="1:22" x14ac:dyDescent="0.3">
      <c r="A8" s="17"/>
      <c r="B8" s="3"/>
      <c r="D8" s="7"/>
      <c r="E8" s="200"/>
      <c r="F8" s="19"/>
      <c r="G8" s="73"/>
      <c r="H8" s="74"/>
      <c r="I8" s="73"/>
    </row>
    <row r="9" spans="1:22" x14ac:dyDescent="0.3">
      <c r="A9" s="28" t="s">
        <v>28</v>
      </c>
      <c r="B9" s="28" t="s">
        <v>619</v>
      </c>
      <c r="C9" s="194" t="s">
        <v>29</v>
      </c>
      <c r="D9" s="106" t="s">
        <v>30</v>
      </c>
      <c r="E9" s="201" t="s">
        <v>296</v>
      </c>
      <c r="F9" s="107" t="s">
        <v>32</v>
      </c>
      <c r="G9" s="107" t="s">
        <v>33</v>
      </c>
      <c r="H9" s="106" t="s">
        <v>17</v>
      </c>
      <c r="I9" s="7"/>
      <c r="J9" s="157" t="s">
        <v>562</v>
      </c>
      <c r="K9" s="157" t="s">
        <v>443</v>
      </c>
      <c r="L9" s="187" t="s">
        <v>578</v>
      </c>
      <c r="M9" s="187" t="s">
        <v>579</v>
      </c>
      <c r="N9" s="162" t="s">
        <v>444</v>
      </c>
      <c r="O9" s="186" t="s">
        <v>557</v>
      </c>
      <c r="P9" s="162" t="s">
        <v>445</v>
      </c>
      <c r="Q9" s="180" t="s">
        <v>558</v>
      </c>
      <c r="R9" s="161">
        <v>1.3</v>
      </c>
      <c r="S9" s="157" t="s">
        <v>574</v>
      </c>
      <c r="T9" s="157" t="s">
        <v>575</v>
      </c>
      <c r="U9" s="157" t="s">
        <v>576</v>
      </c>
      <c r="V9" s="157" t="s">
        <v>577</v>
      </c>
    </row>
    <row r="10" spans="1:22" s="139" customFormat="1" ht="79.95" customHeight="1" x14ac:dyDescent="0.3">
      <c r="A10" s="28">
        <f>ROW()-9</f>
        <v>1</v>
      </c>
      <c r="B10" s="52"/>
      <c r="C10" s="52" t="s">
        <v>660</v>
      </c>
      <c r="D10" s="40" t="s">
        <v>8</v>
      </c>
      <c r="E10" s="202">
        <v>1</v>
      </c>
      <c r="F10" s="93">
        <v>3500</v>
      </c>
      <c r="G10" s="35">
        <f t="shared" ref="G10:G18" si="0">E10*F10</f>
        <v>3500</v>
      </c>
      <c r="H10" s="100" t="s">
        <v>544</v>
      </c>
      <c r="I10" s="7"/>
      <c r="J10" s="28"/>
      <c r="K10" s="28">
        <f>0.01*500+20</f>
        <v>25</v>
      </c>
      <c r="L10" s="28"/>
      <c r="M10" s="28"/>
      <c r="N10" s="166">
        <f t="shared" ref="N10:N18" si="1">ROUNDUP(E10*L10/S10,0)*T10+ROUNDUP(E10*M10/U10,0)*V10</f>
        <v>0</v>
      </c>
      <c r="O10" s="163">
        <f>4000*0.02</f>
        <v>80</v>
      </c>
      <c r="P10" s="179">
        <f t="shared" ref="P10:P18" si="2">E10*O10</f>
        <v>80</v>
      </c>
      <c r="Q10" s="184">
        <f t="shared" ref="Q10:Q18" si="3">(K10+(N10+P10))*$R$9</f>
        <v>136.5</v>
      </c>
      <c r="R10" s="163"/>
      <c r="S10" s="157">
        <v>1</v>
      </c>
      <c r="T10" s="157"/>
      <c r="U10" s="157">
        <v>1</v>
      </c>
      <c r="V10" s="157"/>
    </row>
    <row r="11" spans="1:22" s="139" customFormat="1" ht="79.95" customHeight="1" x14ac:dyDescent="0.3">
      <c r="A11" s="28">
        <f t="shared" ref="A11:A18" si="4">ROW()-9</f>
        <v>2</v>
      </c>
      <c r="B11" s="31"/>
      <c r="C11" s="31" t="s">
        <v>476</v>
      </c>
      <c r="D11" s="32" t="s">
        <v>8</v>
      </c>
      <c r="E11" s="203">
        <v>1</v>
      </c>
      <c r="F11" s="94">
        <v>7500</v>
      </c>
      <c r="G11" s="35">
        <f t="shared" si="0"/>
        <v>7500</v>
      </c>
      <c r="H11" s="100" t="s">
        <v>378</v>
      </c>
      <c r="I11" s="7"/>
      <c r="J11" s="28"/>
      <c r="K11" s="28"/>
      <c r="L11" s="28"/>
      <c r="M11" s="28"/>
      <c r="N11" s="166">
        <f t="shared" si="1"/>
        <v>0</v>
      </c>
      <c r="O11" s="163"/>
      <c r="P11" s="179">
        <f>E11*O11</f>
        <v>0</v>
      </c>
      <c r="Q11" s="189"/>
      <c r="R11" s="163"/>
      <c r="S11" s="157">
        <v>1</v>
      </c>
      <c r="T11" s="157"/>
      <c r="U11" s="157">
        <v>1</v>
      </c>
      <c r="V11" s="157"/>
    </row>
    <row r="12" spans="1:22" s="139" customFormat="1" ht="79.95" customHeight="1" x14ac:dyDescent="0.3">
      <c r="A12" s="28">
        <f t="shared" si="4"/>
        <v>3</v>
      </c>
      <c r="B12" s="52"/>
      <c r="C12" s="52" t="s">
        <v>734</v>
      </c>
      <c r="D12" s="40" t="s">
        <v>8</v>
      </c>
      <c r="E12" s="202">
        <v>1</v>
      </c>
      <c r="F12" s="93">
        <v>25000</v>
      </c>
      <c r="G12" s="35">
        <f t="shared" si="0"/>
        <v>25000</v>
      </c>
      <c r="H12" s="100" t="s">
        <v>380</v>
      </c>
      <c r="I12" s="7"/>
      <c r="J12" s="28">
        <f>ROUNDUP(E12*L12/S12,0)</f>
        <v>1</v>
      </c>
      <c r="K12" s="28"/>
      <c r="L12" s="28">
        <v>1</v>
      </c>
      <c r="M12" s="28"/>
      <c r="N12" s="166">
        <f t="shared" si="1"/>
        <v>14000</v>
      </c>
      <c r="O12" s="163">
        <v>0</v>
      </c>
      <c r="P12" s="179">
        <f t="shared" si="2"/>
        <v>0</v>
      </c>
      <c r="Q12" s="184">
        <f t="shared" si="3"/>
        <v>18200</v>
      </c>
      <c r="R12" s="163"/>
      <c r="S12" s="157">
        <v>50</v>
      </c>
      <c r="T12" s="157">
        <v>14000</v>
      </c>
      <c r="U12" s="157">
        <v>1</v>
      </c>
      <c r="V12" s="157"/>
    </row>
    <row r="13" spans="1:22" s="139" customFormat="1" ht="79.95" customHeight="1" x14ac:dyDescent="0.3">
      <c r="A13" s="28">
        <f t="shared" si="4"/>
        <v>4</v>
      </c>
      <c r="B13" s="52"/>
      <c r="C13" s="52" t="s">
        <v>737</v>
      </c>
      <c r="D13" s="40" t="s">
        <v>8</v>
      </c>
      <c r="E13" s="202">
        <v>1</v>
      </c>
      <c r="F13" s="93">
        <v>3000</v>
      </c>
      <c r="G13" s="35">
        <f t="shared" si="0"/>
        <v>3000</v>
      </c>
      <c r="H13" s="100" t="s">
        <v>376</v>
      </c>
      <c r="I13" s="7"/>
      <c r="J13" s="28"/>
      <c r="K13" s="28"/>
      <c r="L13" s="28">
        <v>1</v>
      </c>
      <c r="M13" s="28"/>
      <c r="N13" s="166">
        <f t="shared" si="1"/>
        <v>5000</v>
      </c>
      <c r="O13" s="163">
        <f>4000*0.22</f>
        <v>880</v>
      </c>
      <c r="P13" s="179">
        <f t="shared" si="2"/>
        <v>880</v>
      </c>
      <c r="Q13" s="185">
        <f t="shared" si="3"/>
        <v>7644</v>
      </c>
      <c r="R13" s="163"/>
      <c r="S13" s="160">
        <v>30</v>
      </c>
      <c r="T13" s="160">
        <v>5000</v>
      </c>
      <c r="U13" s="157">
        <v>1</v>
      </c>
      <c r="V13" s="160"/>
    </row>
    <row r="14" spans="1:22" s="139" customFormat="1" ht="79.95" customHeight="1" x14ac:dyDescent="0.3">
      <c r="A14" s="28">
        <f t="shared" si="4"/>
        <v>5</v>
      </c>
      <c r="B14" s="52"/>
      <c r="C14" s="52" t="s">
        <v>377</v>
      </c>
      <c r="D14" s="40" t="s">
        <v>8</v>
      </c>
      <c r="E14" s="202">
        <v>1</v>
      </c>
      <c r="F14" s="93">
        <v>15000</v>
      </c>
      <c r="G14" s="35">
        <f t="shared" si="0"/>
        <v>15000</v>
      </c>
      <c r="H14" s="100" t="s">
        <v>546</v>
      </c>
      <c r="I14" s="7"/>
      <c r="J14" s="28"/>
      <c r="K14" s="28"/>
      <c r="L14" s="28">
        <v>1</v>
      </c>
      <c r="M14" s="28"/>
      <c r="N14" s="166">
        <f t="shared" si="1"/>
        <v>0</v>
      </c>
      <c r="O14" s="163">
        <f>4000*0.1</f>
        <v>400</v>
      </c>
      <c r="P14" s="179">
        <f t="shared" si="2"/>
        <v>400</v>
      </c>
      <c r="Q14" s="184">
        <f t="shared" si="3"/>
        <v>520</v>
      </c>
      <c r="R14" s="163"/>
      <c r="S14" s="157">
        <v>1</v>
      </c>
      <c r="T14" s="157"/>
      <c r="U14" s="157">
        <v>1</v>
      </c>
      <c r="V14" s="157"/>
    </row>
    <row r="15" spans="1:22" s="139" customFormat="1" ht="79.95" customHeight="1" x14ac:dyDescent="0.3">
      <c r="A15" s="28">
        <f t="shared" si="4"/>
        <v>6</v>
      </c>
      <c r="B15" s="52"/>
      <c r="C15" s="52" t="s">
        <v>733</v>
      </c>
      <c r="D15" s="40" t="s">
        <v>8</v>
      </c>
      <c r="E15" s="202">
        <v>1</v>
      </c>
      <c r="F15" s="93">
        <v>35000</v>
      </c>
      <c r="G15" s="35">
        <f t="shared" si="0"/>
        <v>35000</v>
      </c>
      <c r="H15" s="100" t="s">
        <v>546</v>
      </c>
      <c r="I15" s="7"/>
      <c r="J15" s="28"/>
      <c r="K15" s="28"/>
      <c r="L15" s="28">
        <v>50</v>
      </c>
      <c r="M15" s="28"/>
      <c r="N15" s="166">
        <f t="shared" si="1"/>
        <v>600</v>
      </c>
      <c r="O15" s="163">
        <f>4000*0.135</f>
        <v>540</v>
      </c>
      <c r="P15" s="179">
        <f t="shared" si="2"/>
        <v>540</v>
      </c>
      <c r="Q15" s="184">
        <f t="shared" si="3"/>
        <v>1482</v>
      </c>
      <c r="R15" s="163"/>
      <c r="S15" s="157">
        <v>1000</v>
      </c>
      <c r="T15" s="157">
        <v>600</v>
      </c>
      <c r="U15" s="157">
        <v>1</v>
      </c>
      <c r="V15" s="157"/>
    </row>
    <row r="16" spans="1:22" s="139" customFormat="1" ht="79.95" customHeight="1" x14ac:dyDescent="0.3">
      <c r="A16" s="28">
        <f t="shared" si="4"/>
        <v>7</v>
      </c>
      <c r="B16" s="52"/>
      <c r="C16" s="52" t="s">
        <v>634</v>
      </c>
      <c r="D16" s="40" t="s">
        <v>8</v>
      </c>
      <c r="E16" s="202">
        <v>1</v>
      </c>
      <c r="F16" s="93">
        <v>40000</v>
      </c>
      <c r="G16" s="35">
        <f t="shared" ref="G16" si="5">E16*F16</f>
        <v>40000</v>
      </c>
      <c r="H16" s="100" t="s">
        <v>546</v>
      </c>
      <c r="I16" s="7"/>
      <c r="J16" s="28"/>
      <c r="K16" s="28"/>
      <c r="L16" s="28">
        <v>12</v>
      </c>
      <c r="M16" s="28"/>
      <c r="N16" s="166">
        <f t="shared" ref="N16" si="6">ROUNDUP(E16*L16/S16,0)*T16+ROUNDUP(E16*M16/U16,0)*V16</f>
        <v>5100</v>
      </c>
      <c r="O16" s="163">
        <f>4000*0.25</f>
        <v>1000</v>
      </c>
      <c r="P16" s="179">
        <f t="shared" ref="P16" si="7">E16*O16</f>
        <v>1000</v>
      </c>
      <c r="Q16" s="184">
        <f t="shared" ref="Q16" si="8">(K16+(N16+P16))*$R$9</f>
        <v>7930</v>
      </c>
      <c r="R16" s="163"/>
      <c r="S16" s="164">
        <v>30</v>
      </c>
      <c r="T16" s="157">
        <v>5100</v>
      </c>
      <c r="U16" s="157">
        <v>1</v>
      </c>
      <c r="V16" s="157"/>
    </row>
    <row r="17" spans="1:22" s="139" customFormat="1" ht="79.95" customHeight="1" x14ac:dyDescent="0.3">
      <c r="A17" s="28">
        <f t="shared" si="4"/>
        <v>8</v>
      </c>
      <c r="B17" s="52"/>
      <c r="C17" s="52" t="s">
        <v>633</v>
      </c>
      <c r="D17" s="40" t="s">
        <v>8</v>
      </c>
      <c r="E17" s="202">
        <v>1</v>
      </c>
      <c r="F17" s="93">
        <v>18000</v>
      </c>
      <c r="G17" s="35">
        <f t="shared" si="0"/>
        <v>18000</v>
      </c>
      <c r="H17" s="100"/>
      <c r="I17" s="7"/>
      <c r="J17" s="28"/>
      <c r="K17" s="28"/>
      <c r="L17" s="28">
        <v>12</v>
      </c>
      <c r="M17" s="28"/>
      <c r="N17" s="166">
        <f t="shared" si="1"/>
        <v>5100</v>
      </c>
      <c r="O17" s="163">
        <f>4000*0.25</f>
        <v>1000</v>
      </c>
      <c r="P17" s="179">
        <f t="shared" si="2"/>
        <v>1000</v>
      </c>
      <c r="Q17" s="184">
        <f t="shared" si="3"/>
        <v>7930</v>
      </c>
      <c r="R17" s="163"/>
      <c r="S17" s="164">
        <v>30</v>
      </c>
      <c r="T17" s="157">
        <v>5100</v>
      </c>
      <c r="U17" s="157">
        <v>1</v>
      </c>
      <c r="V17" s="157"/>
    </row>
    <row r="18" spans="1:22" s="139" customFormat="1" ht="79.95" customHeight="1" x14ac:dyDescent="0.3">
      <c r="A18" s="28">
        <f t="shared" si="4"/>
        <v>9</v>
      </c>
      <c r="B18" s="52"/>
      <c r="C18" s="52" t="s">
        <v>661</v>
      </c>
      <c r="D18" s="40" t="s">
        <v>8</v>
      </c>
      <c r="E18" s="202">
        <v>1</v>
      </c>
      <c r="F18" s="93">
        <v>50000</v>
      </c>
      <c r="G18" s="35">
        <f t="shared" si="0"/>
        <v>50000</v>
      </c>
      <c r="H18" s="100" t="s">
        <v>546</v>
      </c>
      <c r="I18" s="7"/>
      <c r="J18" s="28"/>
      <c r="K18" s="28"/>
      <c r="L18" s="28">
        <v>0.14499999999999999</v>
      </c>
      <c r="M18" s="28"/>
      <c r="N18" s="166">
        <f t="shared" si="1"/>
        <v>4500</v>
      </c>
      <c r="O18" s="163"/>
      <c r="P18" s="179">
        <f t="shared" si="2"/>
        <v>0</v>
      </c>
      <c r="Q18" s="184">
        <f t="shared" si="3"/>
        <v>5850</v>
      </c>
      <c r="R18" s="163"/>
      <c r="S18" s="160">
        <v>10</v>
      </c>
      <c r="T18" s="160">
        <f>450*10</f>
        <v>4500</v>
      </c>
      <c r="U18" s="160">
        <v>1</v>
      </c>
      <c r="V18" s="160"/>
    </row>
    <row r="19" spans="1:22" x14ac:dyDescent="0.3">
      <c r="A19" s="228" t="s">
        <v>17</v>
      </c>
      <c r="B19" s="193" t="s">
        <v>624</v>
      </c>
      <c r="C19" s="242" t="s">
        <v>606</v>
      </c>
      <c r="D19" s="242"/>
      <c r="E19" s="242"/>
      <c r="F19" s="242"/>
      <c r="G19" s="242"/>
      <c r="H19" s="242"/>
      <c r="I19" s="191"/>
      <c r="J19" s="43"/>
      <c r="K19" s="43"/>
      <c r="L19" s="43"/>
      <c r="M19" s="43"/>
      <c r="N19" s="43"/>
      <c r="O19" s="43"/>
      <c r="P19" s="43"/>
      <c r="Q19" s="183"/>
      <c r="R19" s="43"/>
      <c r="S19" s="28"/>
      <c r="T19" s="28"/>
      <c r="U19" s="28"/>
      <c r="V19" s="28"/>
    </row>
    <row r="20" spans="1:22" x14ac:dyDescent="0.3">
      <c r="A20" s="228"/>
      <c r="B20" s="193" t="s">
        <v>625</v>
      </c>
      <c r="C20" s="242" t="s">
        <v>607</v>
      </c>
      <c r="D20" s="242"/>
      <c r="E20" s="242"/>
      <c r="F20" s="242"/>
      <c r="G20" s="242"/>
      <c r="H20" s="242"/>
      <c r="I20" s="191"/>
      <c r="J20" s="77"/>
      <c r="K20" s="77"/>
      <c r="L20" s="77"/>
      <c r="M20" s="77"/>
      <c r="N20" s="43"/>
      <c r="O20" s="43"/>
      <c r="P20" s="43"/>
      <c r="Q20" s="183"/>
      <c r="R20" s="43"/>
      <c r="S20" s="28"/>
      <c r="T20" s="28"/>
      <c r="U20" s="28"/>
      <c r="V20" s="28"/>
    </row>
    <row r="21" spans="1:22" x14ac:dyDescent="0.3">
      <c r="A21" s="228"/>
      <c r="B21" s="193" t="s">
        <v>626</v>
      </c>
      <c r="C21" s="242" t="s">
        <v>608</v>
      </c>
      <c r="D21" s="242"/>
      <c r="E21" s="242"/>
      <c r="F21" s="242"/>
      <c r="G21" s="242"/>
      <c r="H21" s="242"/>
      <c r="I21" s="191"/>
      <c r="J21" s="43"/>
      <c r="K21" s="43"/>
      <c r="L21" s="43"/>
      <c r="M21" s="43"/>
      <c r="N21" s="43"/>
      <c r="O21" s="43"/>
      <c r="P21" s="43"/>
      <c r="Q21" s="183"/>
      <c r="R21" s="43"/>
      <c r="S21" s="28"/>
      <c r="T21" s="28"/>
      <c r="U21" s="28"/>
      <c r="V21" s="28"/>
    </row>
    <row r="22" spans="1:22" x14ac:dyDescent="0.3">
      <c r="A22" s="228"/>
      <c r="B22" s="193" t="s">
        <v>627</v>
      </c>
      <c r="C22" s="242" t="s">
        <v>609</v>
      </c>
      <c r="D22" s="242"/>
      <c r="E22" s="242"/>
      <c r="F22" s="242"/>
      <c r="G22" s="242"/>
      <c r="H22" s="242"/>
      <c r="I22" s="191"/>
      <c r="J22" s="43"/>
      <c r="K22" s="43"/>
      <c r="L22" s="43"/>
      <c r="M22" s="43"/>
      <c r="N22" s="43"/>
      <c r="O22" s="43"/>
      <c r="P22" s="43"/>
      <c r="Q22" s="183"/>
      <c r="R22" s="43"/>
      <c r="S22" s="28"/>
      <c r="T22" s="28"/>
      <c r="U22" s="28"/>
      <c r="V22" s="28"/>
    </row>
    <row r="23" spans="1:22" x14ac:dyDescent="0.3">
      <c r="A23" s="228"/>
      <c r="B23" s="193" t="s">
        <v>628</v>
      </c>
      <c r="C23" s="242" t="s">
        <v>735</v>
      </c>
      <c r="D23" s="242"/>
      <c r="E23" s="242"/>
      <c r="F23" s="242"/>
      <c r="G23" s="242"/>
      <c r="H23" s="242"/>
      <c r="I23" s="191"/>
      <c r="J23" s="43"/>
      <c r="K23" s="43"/>
      <c r="L23" s="43"/>
      <c r="M23" s="43"/>
      <c r="N23" s="43"/>
      <c r="O23" s="43"/>
      <c r="P23" s="43"/>
      <c r="Q23" s="183"/>
      <c r="R23" s="43"/>
      <c r="S23" s="28"/>
      <c r="T23" s="28"/>
      <c r="U23" s="28"/>
      <c r="V23" s="28"/>
    </row>
    <row r="24" spans="1:22" x14ac:dyDescent="0.3">
      <c r="A24" s="228"/>
      <c r="B24" s="193" t="s">
        <v>629</v>
      </c>
      <c r="C24" s="242" t="s">
        <v>610</v>
      </c>
      <c r="D24" s="242"/>
      <c r="E24" s="242"/>
      <c r="F24" s="242"/>
      <c r="G24" s="242"/>
      <c r="H24" s="242"/>
      <c r="I24" s="191"/>
      <c r="J24" s="77"/>
      <c r="K24" s="77"/>
      <c r="L24" s="77"/>
      <c r="M24" s="77"/>
      <c r="N24" s="43"/>
      <c r="O24" s="43"/>
      <c r="P24" s="43"/>
      <c r="Q24" s="183"/>
      <c r="R24" s="43"/>
      <c r="S24" s="28"/>
      <c r="T24" s="28"/>
      <c r="U24" s="28"/>
      <c r="V24" s="28"/>
    </row>
    <row r="25" spans="1:22" x14ac:dyDescent="0.3">
      <c r="A25" s="228"/>
      <c r="B25" s="193"/>
      <c r="C25" s="227" t="s">
        <v>611</v>
      </c>
      <c r="D25" s="227"/>
      <c r="E25" s="227"/>
      <c r="F25" s="227"/>
      <c r="G25" s="227"/>
      <c r="H25" s="227"/>
      <c r="J25" s="43"/>
      <c r="K25" s="43"/>
      <c r="L25" s="43"/>
      <c r="M25" s="43"/>
      <c r="N25" s="43"/>
      <c r="O25" s="43"/>
      <c r="P25" s="43"/>
      <c r="Q25" s="183"/>
      <c r="R25" s="43"/>
      <c r="S25" s="28"/>
      <c r="T25" s="28"/>
      <c r="U25" s="28"/>
      <c r="V25" s="28"/>
    </row>
    <row r="26" spans="1:22" x14ac:dyDescent="0.3">
      <c r="A26" s="228"/>
      <c r="B26" s="193" t="s">
        <v>630</v>
      </c>
      <c r="C26" s="242" t="s">
        <v>612</v>
      </c>
      <c r="D26" s="242"/>
      <c r="E26" s="242"/>
      <c r="F26" s="242"/>
      <c r="G26" s="242"/>
      <c r="H26" s="242"/>
      <c r="I26" s="191"/>
      <c r="J26" s="77"/>
      <c r="K26" s="77"/>
      <c r="L26" s="77"/>
      <c r="M26" s="77"/>
      <c r="N26" s="43"/>
      <c r="O26" s="43"/>
      <c r="P26" s="43"/>
      <c r="Q26" s="183"/>
      <c r="R26" s="43"/>
      <c r="S26" s="28"/>
      <c r="T26" s="28"/>
      <c r="U26" s="28"/>
      <c r="V26" s="28"/>
    </row>
    <row r="27" spans="1:22" x14ac:dyDescent="0.3">
      <c r="A27" s="228"/>
      <c r="B27" s="193" t="s">
        <v>631</v>
      </c>
      <c r="C27" s="242" t="s">
        <v>613</v>
      </c>
      <c r="D27" s="242"/>
      <c r="E27" s="242"/>
      <c r="F27" s="242"/>
      <c r="G27" s="242"/>
      <c r="H27" s="242"/>
      <c r="I27" s="191"/>
      <c r="J27" s="77"/>
      <c r="K27" s="77"/>
      <c r="L27" s="77"/>
      <c r="M27" s="77"/>
      <c r="N27" s="43"/>
      <c r="O27" s="43"/>
      <c r="P27" s="43"/>
      <c r="Q27" s="183"/>
      <c r="R27" s="43"/>
      <c r="S27" s="28"/>
      <c r="T27" s="28"/>
      <c r="U27" s="28"/>
      <c r="V27" s="28"/>
    </row>
    <row r="28" spans="1:22" x14ac:dyDescent="0.3">
      <c r="A28" s="228"/>
      <c r="B28" s="193" t="s">
        <v>632</v>
      </c>
      <c r="C28" s="242" t="s">
        <v>614</v>
      </c>
      <c r="D28" s="242"/>
      <c r="E28" s="242"/>
      <c r="F28" s="242"/>
      <c r="G28" s="242"/>
      <c r="H28" s="242"/>
      <c r="I28" s="191"/>
      <c r="J28" s="43"/>
      <c r="K28" s="43"/>
      <c r="L28" s="43"/>
      <c r="M28" s="43"/>
      <c r="N28" s="43"/>
      <c r="O28" s="43"/>
      <c r="P28" s="43"/>
      <c r="Q28" s="183"/>
      <c r="R28" s="43"/>
      <c r="S28" s="28"/>
      <c r="T28" s="28"/>
      <c r="U28" s="28"/>
      <c r="V28" s="28"/>
    </row>
    <row r="29" spans="1:22" x14ac:dyDescent="0.3">
      <c r="A29" s="228"/>
      <c r="B29" s="193" t="s">
        <v>616</v>
      </c>
      <c r="C29" s="242" t="s">
        <v>615</v>
      </c>
      <c r="D29" s="242"/>
      <c r="E29" s="242"/>
      <c r="F29" s="242"/>
      <c r="G29" s="242"/>
      <c r="H29" s="242"/>
      <c r="I29" s="191"/>
      <c r="J29" s="77"/>
      <c r="K29" s="77"/>
      <c r="L29" s="77"/>
      <c r="M29" s="77"/>
      <c r="N29" s="43"/>
      <c r="O29" s="43"/>
      <c r="P29" s="43"/>
      <c r="Q29" s="183"/>
      <c r="R29" s="43"/>
      <c r="S29" s="28"/>
      <c r="T29" s="28"/>
      <c r="U29" s="28"/>
      <c r="V29" s="28"/>
    </row>
    <row r="30" spans="1:22" x14ac:dyDescent="0.3">
      <c r="A30" s="228"/>
      <c r="B30" s="193" t="s">
        <v>617</v>
      </c>
      <c r="C30" s="233" t="s">
        <v>662</v>
      </c>
      <c r="D30" s="234"/>
      <c r="E30" s="234"/>
      <c r="F30" s="234"/>
      <c r="G30" s="234"/>
      <c r="H30" s="235"/>
      <c r="I30" s="191"/>
      <c r="J30" s="43"/>
      <c r="K30" s="43"/>
      <c r="L30" s="43"/>
      <c r="M30" s="43"/>
      <c r="N30" s="43"/>
      <c r="O30" s="43"/>
      <c r="P30" s="43"/>
      <c r="Q30" s="183"/>
      <c r="R30" s="43"/>
      <c r="S30" s="28"/>
      <c r="T30" s="28"/>
      <c r="U30" s="28"/>
      <c r="V30" s="28"/>
    </row>
    <row r="31" spans="1:22" x14ac:dyDescent="0.3">
      <c r="A31" s="229"/>
      <c r="B31" s="193" t="s">
        <v>618</v>
      </c>
      <c r="C31" s="242" t="s">
        <v>736</v>
      </c>
      <c r="D31" s="242"/>
      <c r="E31" s="242"/>
      <c r="F31" s="242"/>
      <c r="G31" s="242"/>
      <c r="H31" s="242"/>
      <c r="I31" s="191"/>
      <c r="J31" s="43"/>
      <c r="K31" s="43"/>
      <c r="L31" s="43"/>
      <c r="M31" s="43"/>
      <c r="N31" s="43"/>
      <c r="O31" s="43"/>
      <c r="P31" s="43"/>
      <c r="Q31" s="183"/>
      <c r="R31" s="43"/>
      <c r="S31" s="28"/>
      <c r="T31" s="28"/>
      <c r="U31" s="28"/>
      <c r="V31" s="28"/>
    </row>
  </sheetData>
  <mergeCells count="16">
    <mergeCell ref="A1:H1"/>
    <mergeCell ref="G3:H3"/>
    <mergeCell ref="C31:H31"/>
    <mergeCell ref="C27:H27"/>
    <mergeCell ref="C25:H25"/>
    <mergeCell ref="C29:H29"/>
    <mergeCell ref="A19:A31"/>
    <mergeCell ref="C22:H22"/>
    <mergeCell ref="C23:H23"/>
    <mergeCell ref="C24:H24"/>
    <mergeCell ref="C26:H26"/>
    <mergeCell ref="C19:H19"/>
    <mergeCell ref="C20:H20"/>
    <mergeCell ref="C21:H21"/>
    <mergeCell ref="C28:H28"/>
    <mergeCell ref="C30:H30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4" fitToHeight="0" orientation="portrait" horizontalDpi="300" verticalDpi="300" r:id="rId1"/>
  <headerFooter alignWithMargins="0">
    <oddFooter>&amp;C&amp;P/&amp;N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7AD5-89CD-4C87-9523-587259DCB89A}">
  <dimension ref="A1:M42"/>
  <sheetViews>
    <sheetView showGridLines="0" view="pageBreakPreview" topLeftCell="A14" zoomScale="55" zoomScaleNormal="70" zoomScaleSheetLayoutView="55" zoomScalePageLayoutView="85" workbookViewId="0">
      <selection activeCell="B39" sqref="B39:H39"/>
    </sheetView>
  </sheetViews>
  <sheetFormatPr defaultColWidth="9" defaultRowHeight="15" x14ac:dyDescent="0.3"/>
  <cols>
    <col min="1" max="1" width="5" style="2" customWidth="1"/>
    <col min="2" max="2" width="6.6640625" style="2" customWidth="1"/>
    <col min="3" max="3" width="49" style="1" customWidth="1"/>
    <col min="4" max="4" width="6.44140625" style="1" bestFit="1" customWidth="1"/>
    <col min="5" max="5" width="8" style="5" bestFit="1" customWidth="1"/>
    <col min="6" max="6" width="12.6640625" style="6" customWidth="1"/>
    <col min="7" max="7" width="11.6640625" style="6" customWidth="1"/>
    <col min="8" max="8" width="25.6640625" style="1" customWidth="1"/>
    <col min="9" max="9" width="10" style="1" customWidth="1"/>
    <col min="10" max="10" width="9.44140625" style="1" customWidth="1"/>
    <col min="11" max="16384" width="9" style="1"/>
  </cols>
  <sheetData>
    <row r="1" spans="1:10" ht="29.4" x14ac:dyDescent="0.3">
      <c r="A1" s="222" t="s">
        <v>375</v>
      </c>
      <c r="B1" s="222"/>
      <c r="C1" s="222"/>
      <c r="D1" s="222"/>
      <c r="E1" s="222"/>
      <c r="F1" s="222"/>
      <c r="G1" s="222"/>
      <c r="H1" s="222"/>
    </row>
    <row r="2" spans="1:10" ht="12.75" customHeight="1" x14ac:dyDescent="0.3">
      <c r="C2" s="97"/>
      <c r="D2" s="97"/>
      <c r="E2" s="98"/>
      <c r="F2" s="99"/>
      <c r="G2" s="99"/>
      <c r="H2" s="10"/>
    </row>
    <row r="3" spans="1:10" ht="17.399999999999999" x14ac:dyDescent="0.3">
      <c r="A3" s="11"/>
      <c r="B3" s="12"/>
      <c r="C3" s="13"/>
      <c r="D3" s="14"/>
      <c r="E3" s="15"/>
      <c r="F3" s="16" t="s">
        <v>48</v>
      </c>
      <c r="G3" s="223"/>
      <c r="H3" s="224"/>
    </row>
    <row r="4" spans="1:10" ht="17.399999999999999" x14ac:dyDescent="0.3">
      <c r="A4" s="17"/>
      <c r="B4" s="3"/>
      <c r="C4" s="4"/>
      <c r="D4" s="7"/>
      <c r="E4" s="18"/>
      <c r="F4" s="19"/>
      <c r="G4" s="19"/>
      <c r="H4" s="20"/>
    </row>
    <row r="5" spans="1:10" ht="17.399999999999999" x14ac:dyDescent="0.3">
      <c r="A5" s="17"/>
      <c r="B5" s="3"/>
      <c r="C5" s="4"/>
      <c r="D5" s="7"/>
      <c r="E5" s="18"/>
      <c r="F5" s="19" t="s">
        <v>21</v>
      </c>
      <c r="G5" s="73"/>
      <c r="H5" s="74"/>
    </row>
    <row r="6" spans="1:10" ht="17.399999999999999" x14ac:dyDescent="0.3">
      <c r="A6" s="17"/>
      <c r="B6" s="3"/>
      <c r="C6" s="4"/>
      <c r="D6" s="7"/>
      <c r="E6" s="18"/>
      <c r="F6" s="19" t="s">
        <v>22</v>
      </c>
      <c r="G6" s="73"/>
      <c r="H6" s="74"/>
    </row>
    <row r="7" spans="1:10" ht="17.399999999999999" x14ac:dyDescent="0.3">
      <c r="A7" s="17"/>
      <c r="B7" s="3"/>
      <c r="C7" s="4"/>
      <c r="D7" s="7"/>
      <c r="E7" s="18"/>
      <c r="F7" s="19" t="s">
        <v>23</v>
      </c>
      <c r="G7" s="73"/>
      <c r="H7" s="74"/>
    </row>
    <row r="8" spans="1:10" ht="17.399999999999999" x14ac:dyDescent="0.3">
      <c r="A8" s="21"/>
      <c r="B8" s="4"/>
      <c r="C8" s="4"/>
      <c r="D8" s="7"/>
      <c r="E8" s="18"/>
      <c r="F8" s="22" t="s">
        <v>25</v>
      </c>
      <c r="G8" s="73"/>
      <c r="H8" s="74"/>
    </row>
    <row r="9" spans="1:10" ht="21.75" customHeight="1" x14ac:dyDescent="0.3">
      <c r="A9" s="23"/>
      <c r="B9" s="24"/>
      <c r="C9" s="24"/>
      <c r="D9" s="25"/>
      <c r="E9" s="26"/>
      <c r="F9" s="27" t="s">
        <v>222</v>
      </c>
      <c r="G9" s="243"/>
      <c r="H9" s="244"/>
    </row>
    <row r="10" spans="1:10" s="109" customFormat="1" ht="40.200000000000003" customHeight="1" x14ac:dyDescent="0.3">
      <c r="A10" s="106" t="s">
        <v>28</v>
      </c>
      <c r="B10" s="106" t="s">
        <v>379</v>
      </c>
      <c r="C10" s="106" t="s">
        <v>29</v>
      </c>
      <c r="D10" s="106" t="s">
        <v>30</v>
      </c>
      <c r="E10" s="106" t="s">
        <v>296</v>
      </c>
      <c r="F10" s="107" t="s">
        <v>32</v>
      </c>
      <c r="G10" s="107" t="s">
        <v>33</v>
      </c>
      <c r="H10" s="106" t="s">
        <v>17</v>
      </c>
      <c r="I10" s="108"/>
      <c r="J10" s="108"/>
    </row>
    <row r="11" spans="1:10" s="4" customFormat="1" ht="60" customHeight="1" x14ac:dyDescent="0.3">
      <c r="A11" s="40">
        <v>1</v>
      </c>
      <c r="B11" s="40"/>
      <c r="C11" s="52" t="s">
        <v>475</v>
      </c>
      <c r="D11" s="40" t="s">
        <v>8</v>
      </c>
      <c r="E11" s="37">
        <v>1</v>
      </c>
      <c r="F11" s="93">
        <v>2500</v>
      </c>
      <c r="G11" s="35">
        <f>E11*F11</f>
        <v>2500</v>
      </c>
      <c r="H11" s="100" t="s">
        <v>544</v>
      </c>
      <c r="I11" s="7"/>
      <c r="J11" s="7"/>
    </row>
    <row r="12" spans="1:10" s="4" customFormat="1" ht="60" customHeight="1" x14ac:dyDescent="0.3">
      <c r="A12" s="40">
        <v>2</v>
      </c>
      <c r="B12" s="30"/>
      <c r="C12" s="31" t="s">
        <v>476</v>
      </c>
      <c r="D12" s="32" t="s">
        <v>8</v>
      </c>
      <c r="E12" s="33">
        <v>1</v>
      </c>
      <c r="F12" s="94">
        <v>7000</v>
      </c>
      <c r="G12" s="35">
        <f t="shared" ref="G12:G15" si="0">E12*F12</f>
        <v>7000</v>
      </c>
      <c r="H12" s="100" t="s">
        <v>378</v>
      </c>
      <c r="I12" s="7"/>
      <c r="J12" s="7"/>
    </row>
    <row r="13" spans="1:10" s="4" customFormat="1" ht="60" customHeight="1" x14ac:dyDescent="0.3">
      <c r="A13" s="40">
        <v>3</v>
      </c>
      <c r="B13" s="40"/>
      <c r="C13" s="52" t="s">
        <v>388</v>
      </c>
      <c r="D13" s="40" t="s">
        <v>8</v>
      </c>
      <c r="E13" s="37">
        <v>1</v>
      </c>
      <c r="F13" s="93">
        <v>25000</v>
      </c>
      <c r="G13" s="35">
        <f t="shared" ref="G13" si="1">E13*F13</f>
        <v>25000</v>
      </c>
      <c r="H13" s="100" t="s">
        <v>380</v>
      </c>
      <c r="I13" s="7"/>
      <c r="J13" s="7"/>
    </row>
    <row r="14" spans="1:10" s="4" customFormat="1" ht="60" customHeight="1" x14ac:dyDescent="0.3">
      <c r="A14" s="40">
        <v>4</v>
      </c>
      <c r="B14" s="40"/>
      <c r="C14" s="52" t="s">
        <v>545</v>
      </c>
      <c r="D14" s="40" t="s">
        <v>8</v>
      </c>
      <c r="E14" s="37">
        <v>1</v>
      </c>
      <c r="F14" s="93">
        <v>2500</v>
      </c>
      <c r="G14" s="35">
        <f t="shared" si="0"/>
        <v>2500</v>
      </c>
      <c r="H14" s="100" t="s">
        <v>376</v>
      </c>
      <c r="I14" s="7"/>
      <c r="J14" s="7"/>
    </row>
    <row r="15" spans="1:10" s="4" customFormat="1" ht="60" customHeight="1" x14ac:dyDescent="0.3">
      <c r="A15" s="40">
        <v>5</v>
      </c>
      <c r="B15" s="40"/>
      <c r="C15" s="52" t="s">
        <v>377</v>
      </c>
      <c r="D15" s="40" t="s">
        <v>8</v>
      </c>
      <c r="E15" s="37">
        <v>1</v>
      </c>
      <c r="F15" s="93">
        <v>15000</v>
      </c>
      <c r="G15" s="35">
        <f t="shared" si="0"/>
        <v>15000</v>
      </c>
      <c r="H15" s="100" t="s">
        <v>546</v>
      </c>
      <c r="I15" s="7"/>
      <c r="J15" s="7"/>
    </row>
    <row r="16" spans="1:10" s="4" customFormat="1" ht="75" customHeight="1" x14ac:dyDescent="0.3">
      <c r="A16" s="40"/>
      <c r="B16" s="40"/>
      <c r="C16" s="52"/>
      <c r="D16" s="40"/>
      <c r="E16" s="37"/>
      <c r="F16" s="93"/>
      <c r="G16" s="35"/>
      <c r="H16" s="100"/>
      <c r="I16" s="7"/>
      <c r="J16" s="7"/>
    </row>
    <row r="17" spans="1:13" s="4" customFormat="1" ht="17.399999999999999" x14ac:dyDescent="0.3">
      <c r="A17" s="101" t="s">
        <v>0</v>
      </c>
      <c r="B17" s="7"/>
      <c r="C17" s="102"/>
      <c r="D17" s="7"/>
      <c r="E17" s="103"/>
      <c r="F17" s="110"/>
      <c r="G17" s="104"/>
      <c r="H17" s="105"/>
      <c r="M17" s="96"/>
    </row>
    <row r="18" spans="1:13" s="4" customFormat="1" ht="17.399999999999999" x14ac:dyDescent="0.3">
      <c r="A18" s="101"/>
      <c r="B18" s="7"/>
      <c r="C18" s="102"/>
      <c r="D18" s="7"/>
      <c r="E18" s="103"/>
      <c r="F18" s="110"/>
      <c r="G18" s="104"/>
      <c r="H18" s="105"/>
      <c r="M18" s="96"/>
    </row>
    <row r="19" spans="1:13" s="4" customFormat="1" ht="17.399999999999999" x14ac:dyDescent="0.3">
      <c r="A19" s="101"/>
      <c r="B19" s="7"/>
      <c r="C19" s="102"/>
      <c r="D19" s="7"/>
      <c r="E19" s="103"/>
      <c r="F19" s="110"/>
      <c r="G19" s="104"/>
      <c r="H19" s="105"/>
      <c r="M19" s="96"/>
    </row>
    <row r="20" spans="1:13" s="4" customFormat="1" ht="17.399999999999999" x14ac:dyDescent="0.3">
      <c r="A20" s="101"/>
      <c r="B20" s="7"/>
      <c r="C20" s="102"/>
      <c r="D20" s="7"/>
      <c r="E20" s="103"/>
      <c r="F20" s="110"/>
      <c r="G20" s="104"/>
      <c r="H20" s="105"/>
      <c r="M20" s="96"/>
    </row>
    <row r="21" spans="1:13" s="4" customFormat="1" ht="17.399999999999999" x14ac:dyDescent="0.3">
      <c r="A21" s="101"/>
      <c r="B21" s="7"/>
      <c r="C21" s="102"/>
      <c r="D21" s="7"/>
      <c r="E21" s="103"/>
      <c r="F21" s="110"/>
      <c r="G21" s="104"/>
      <c r="H21" s="105"/>
      <c r="M21" s="96"/>
    </row>
    <row r="22" spans="1:13" s="4" customFormat="1" ht="17.399999999999999" x14ac:dyDescent="0.3">
      <c r="A22" s="101"/>
      <c r="B22" s="7"/>
      <c r="C22" s="102"/>
      <c r="D22" s="7"/>
      <c r="E22" s="103"/>
      <c r="F22" s="110"/>
      <c r="G22" s="104"/>
      <c r="H22" s="105"/>
      <c r="M22" s="96"/>
    </row>
    <row r="23" spans="1:13" s="4" customFormat="1" ht="17.399999999999999" x14ac:dyDescent="0.3">
      <c r="A23" s="101"/>
      <c r="B23" s="7"/>
      <c r="C23" s="102"/>
      <c r="D23" s="7"/>
      <c r="E23" s="103"/>
      <c r="F23" s="110"/>
      <c r="G23" s="104"/>
      <c r="H23" s="105"/>
      <c r="M23" s="96"/>
    </row>
    <row r="24" spans="1:13" s="4" customFormat="1" ht="17.399999999999999" x14ac:dyDescent="0.3">
      <c r="A24" s="101"/>
      <c r="B24" s="7"/>
      <c r="C24" s="102"/>
      <c r="D24" s="7"/>
      <c r="E24" s="103"/>
      <c r="F24" s="110"/>
      <c r="G24" s="104"/>
      <c r="H24" s="105"/>
      <c r="M24" s="96"/>
    </row>
    <row r="25" spans="1:13" s="4" customFormat="1" ht="17.399999999999999" x14ac:dyDescent="0.3">
      <c r="A25" s="101"/>
      <c r="B25" s="7"/>
      <c r="C25" s="102"/>
      <c r="D25" s="7"/>
      <c r="E25" s="103"/>
      <c r="F25" s="110"/>
      <c r="G25" s="104"/>
      <c r="H25" s="105"/>
      <c r="M25" s="96"/>
    </row>
    <row r="26" spans="1:13" s="4" customFormat="1" ht="17.399999999999999" x14ac:dyDescent="0.3">
      <c r="A26" s="101"/>
      <c r="B26" s="7"/>
      <c r="C26" s="102"/>
      <c r="D26" s="7"/>
      <c r="E26" s="103"/>
      <c r="F26" s="110"/>
      <c r="G26" s="104"/>
      <c r="H26" s="105"/>
      <c r="M26" s="96"/>
    </row>
    <row r="27" spans="1:13" s="4" customFormat="1" ht="17.399999999999999" x14ac:dyDescent="0.3">
      <c r="A27" s="229" t="s">
        <v>17</v>
      </c>
      <c r="B27" s="245" t="s">
        <v>50</v>
      </c>
      <c r="C27" s="246"/>
      <c r="D27" s="246"/>
      <c r="E27" s="246"/>
      <c r="F27" s="246"/>
      <c r="G27" s="246"/>
      <c r="H27" s="247"/>
    </row>
    <row r="28" spans="1:13" s="4" customFormat="1" ht="17.399999999999999" x14ac:dyDescent="0.3">
      <c r="A28" s="228"/>
      <c r="B28" s="245" t="s">
        <v>477</v>
      </c>
      <c r="C28" s="246"/>
      <c r="D28" s="246"/>
      <c r="E28" s="246"/>
      <c r="F28" s="246"/>
      <c r="G28" s="246"/>
      <c r="H28" s="247"/>
    </row>
    <row r="29" spans="1:13" s="4" customFormat="1" ht="17.399999999999999" x14ac:dyDescent="0.3">
      <c r="A29" s="228"/>
      <c r="B29" s="245" t="s">
        <v>478</v>
      </c>
      <c r="C29" s="246"/>
      <c r="D29" s="246"/>
      <c r="E29" s="246"/>
      <c r="F29" s="246"/>
      <c r="G29" s="246"/>
      <c r="H29" s="247"/>
    </row>
    <row r="30" spans="1:13" s="4" customFormat="1" ht="17.399999999999999" x14ac:dyDescent="0.3">
      <c r="A30" s="228"/>
      <c r="B30" s="245" t="s">
        <v>381</v>
      </c>
      <c r="C30" s="246"/>
      <c r="D30" s="246"/>
      <c r="E30" s="246"/>
      <c r="F30" s="246"/>
      <c r="G30" s="246"/>
      <c r="H30" s="247"/>
    </row>
    <row r="31" spans="1:13" s="4" customFormat="1" ht="17.399999999999999" x14ac:dyDescent="0.3">
      <c r="A31" s="228"/>
      <c r="B31" s="245" t="s">
        <v>534</v>
      </c>
      <c r="C31" s="246"/>
      <c r="D31" s="246"/>
      <c r="E31" s="246"/>
      <c r="F31" s="246"/>
      <c r="G31" s="246"/>
      <c r="H31" s="247"/>
    </row>
    <row r="32" spans="1:13" s="4" customFormat="1" ht="17.399999999999999" x14ac:dyDescent="0.3">
      <c r="A32" s="228"/>
      <c r="B32" s="245" t="s">
        <v>382</v>
      </c>
      <c r="C32" s="246"/>
      <c r="D32" s="246"/>
      <c r="E32" s="246"/>
      <c r="F32" s="246"/>
      <c r="G32" s="246"/>
      <c r="H32" s="247"/>
    </row>
    <row r="33" spans="1:9" s="4" customFormat="1" ht="17.399999999999999" x14ac:dyDescent="0.3">
      <c r="A33" s="228"/>
      <c r="B33" s="245" t="s">
        <v>479</v>
      </c>
      <c r="C33" s="246"/>
      <c r="D33" s="246"/>
      <c r="E33" s="246"/>
      <c r="F33" s="246"/>
      <c r="G33" s="246"/>
      <c r="H33" s="247"/>
    </row>
    <row r="34" spans="1:9" s="4" customFormat="1" ht="17.399999999999999" x14ac:dyDescent="0.3">
      <c r="A34" s="228"/>
      <c r="B34" s="245" t="s">
        <v>383</v>
      </c>
      <c r="C34" s="246"/>
      <c r="D34" s="246"/>
      <c r="E34" s="246"/>
      <c r="F34" s="246"/>
      <c r="G34" s="246"/>
      <c r="H34" s="247"/>
    </row>
    <row r="35" spans="1:9" s="4" customFormat="1" ht="17.399999999999999" x14ac:dyDescent="0.3">
      <c r="A35" s="228"/>
      <c r="B35" s="245" t="s">
        <v>384</v>
      </c>
      <c r="C35" s="246"/>
      <c r="D35" s="246"/>
      <c r="E35" s="246"/>
      <c r="F35" s="246"/>
      <c r="G35" s="246"/>
      <c r="H35" s="247"/>
    </row>
    <row r="36" spans="1:9" s="4" customFormat="1" ht="17.399999999999999" x14ac:dyDescent="0.3">
      <c r="A36" s="228"/>
      <c r="B36" s="245" t="s">
        <v>385</v>
      </c>
      <c r="C36" s="246"/>
      <c r="D36" s="246"/>
      <c r="E36" s="246"/>
      <c r="F36" s="246"/>
      <c r="G36" s="246"/>
      <c r="H36" s="247"/>
    </row>
    <row r="37" spans="1:9" s="4" customFormat="1" ht="17.399999999999999" x14ac:dyDescent="0.3">
      <c r="A37" s="228"/>
      <c r="B37" s="245" t="s">
        <v>386</v>
      </c>
      <c r="C37" s="246"/>
      <c r="D37" s="246"/>
      <c r="E37" s="246"/>
      <c r="F37" s="246"/>
      <c r="G37" s="246"/>
      <c r="H37" s="247"/>
    </row>
    <row r="38" spans="1:9" s="139" customFormat="1" ht="17.399999999999999" x14ac:dyDescent="0.3">
      <c r="A38" s="228"/>
      <c r="B38" s="140" t="s">
        <v>387</v>
      </c>
      <c r="C38" s="141"/>
      <c r="D38" s="141"/>
      <c r="E38" s="141"/>
      <c r="F38" s="141"/>
      <c r="G38" s="141"/>
      <c r="H38" s="142"/>
      <c r="I38" s="138"/>
    </row>
    <row r="39" spans="1:9" s="4" customFormat="1" ht="17.399999999999999" x14ac:dyDescent="0.3">
      <c r="A39" s="228"/>
      <c r="B39" s="245" t="s">
        <v>581</v>
      </c>
      <c r="C39" s="246"/>
      <c r="D39" s="246"/>
      <c r="E39" s="246"/>
      <c r="F39" s="246"/>
      <c r="G39" s="246"/>
      <c r="H39" s="247"/>
    </row>
    <row r="40" spans="1:9" s="4" customFormat="1" ht="17.399999999999999" x14ac:dyDescent="0.3">
      <c r="A40" s="229"/>
      <c r="B40" s="245" t="s">
        <v>547</v>
      </c>
      <c r="C40" s="246"/>
      <c r="D40" s="246"/>
      <c r="E40" s="246"/>
      <c r="F40" s="246"/>
      <c r="G40" s="246"/>
      <c r="H40" s="247"/>
    </row>
    <row r="41" spans="1:9" s="4" customFormat="1" ht="17.399999999999999" x14ac:dyDescent="0.3">
      <c r="A41" s="249" t="s">
        <v>49</v>
      </c>
      <c r="B41" s="249"/>
      <c r="C41" s="249"/>
      <c r="D41" s="249"/>
      <c r="E41" s="249"/>
      <c r="F41" s="249"/>
      <c r="G41" s="249"/>
      <c r="H41" s="249"/>
    </row>
    <row r="42" spans="1:9" s="4" customFormat="1" ht="17.399999999999999" x14ac:dyDescent="0.3">
      <c r="A42" s="248" t="s">
        <v>535</v>
      </c>
      <c r="B42" s="248"/>
      <c r="C42" s="248"/>
      <c r="D42" s="248"/>
      <c r="E42" s="248"/>
      <c r="F42" s="248"/>
      <c r="G42" s="248"/>
      <c r="H42" s="248"/>
    </row>
  </sheetData>
  <mergeCells count="19">
    <mergeCell ref="A42:H42"/>
    <mergeCell ref="B35:H35"/>
    <mergeCell ref="B36:H36"/>
    <mergeCell ref="B37:H37"/>
    <mergeCell ref="B39:H39"/>
    <mergeCell ref="B40:H40"/>
    <mergeCell ref="A41:H41"/>
    <mergeCell ref="A1:H1"/>
    <mergeCell ref="G3:H3"/>
    <mergeCell ref="G9:H9"/>
    <mergeCell ref="A27:A40"/>
    <mergeCell ref="B27:H27"/>
    <mergeCell ref="B28:H28"/>
    <mergeCell ref="B29:H29"/>
    <mergeCell ref="B32:H32"/>
    <mergeCell ref="B33:H33"/>
    <mergeCell ref="B34:H34"/>
    <mergeCell ref="B31:H31"/>
    <mergeCell ref="B30:H30"/>
  </mergeCells>
  <phoneticPr fontId="5" type="noConversion"/>
  <printOptions horizontalCentered="1"/>
  <pageMargins left="0.31496062992125984" right="0.27559055118110237" top="0.39370078740157483" bottom="0.39370078740157483" header="0.19685039370078741" footer="0"/>
  <pageSetup paperSize="9" scale="77" orientation="portrait" horizontalDpi="300" verticalDpi="300" r:id="rId1"/>
  <headerFooter alignWithMargins="0">
    <oddFooter>&amp;C&amp;P/&amp;N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67"/>
  <sheetViews>
    <sheetView showGridLines="0" view="pageBreakPreview" topLeftCell="A55" zoomScale="85" zoomScaleNormal="70" zoomScaleSheetLayoutView="85" zoomScalePageLayoutView="85" workbookViewId="0">
      <selection activeCell="G2" sqref="G2"/>
    </sheetView>
  </sheetViews>
  <sheetFormatPr defaultColWidth="9" defaultRowHeight="17.399999999999999" x14ac:dyDescent="0.3"/>
  <cols>
    <col min="1" max="1" width="5.6640625" style="7" customWidth="1"/>
    <col min="2" max="2" width="59.6640625" style="4" customWidth="1"/>
    <col min="3" max="3" width="8.44140625" style="4" customWidth="1"/>
    <col min="4" max="4" width="8.6640625" style="69" customWidth="1"/>
    <col min="5" max="5" width="14.6640625" style="59" bestFit="1" customWidth="1"/>
    <col min="6" max="6" width="15" style="60" customWidth="1"/>
    <col min="7" max="7" width="24" style="4" customWidth="1"/>
    <col min="8" max="8" width="9.6640625" style="4" customWidth="1"/>
    <col min="9" max="10" width="18.6640625" style="4" customWidth="1"/>
    <col min="11" max="12" width="19.6640625" style="4" customWidth="1"/>
    <col min="13" max="14" width="9" style="4"/>
    <col min="15" max="15" width="16" style="4" customWidth="1"/>
    <col min="16" max="16" width="15.44140625" style="4" customWidth="1"/>
    <col min="17" max="16384" width="9" style="4"/>
  </cols>
  <sheetData>
    <row r="1" spans="1:16" ht="29.4" x14ac:dyDescent="0.3">
      <c r="A1" s="222" t="s">
        <v>14</v>
      </c>
      <c r="B1" s="222"/>
      <c r="C1" s="222"/>
      <c r="D1" s="222"/>
      <c r="E1" s="222"/>
      <c r="F1" s="222"/>
      <c r="G1" s="222"/>
      <c r="H1" s="158"/>
      <c r="I1" s="158"/>
      <c r="J1" s="158"/>
    </row>
    <row r="2" spans="1:16" x14ac:dyDescent="0.3">
      <c r="B2" s="8"/>
      <c r="C2" s="8"/>
      <c r="D2" s="61"/>
      <c r="E2" s="38"/>
      <c r="F2" s="9"/>
      <c r="G2" s="10">
        <v>45799</v>
      </c>
      <c r="H2" s="10"/>
      <c r="I2" s="10"/>
      <c r="J2" s="10"/>
    </row>
    <row r="3" spans="1:16" x14ac:dyDescent="0.3">
      <c r="A3" s="11"/>
      <c r="B3" s="13"/>
      <c r="C3" s="14"/>
      <c r="D3" s="71"/>
      <c r="E3" s="16" t="s">
        <v>48</v>
      </c>
      <c r="F3" s="223"/>
      <c r="G3" s="224"/>
      <c r="H3" s="73"/>
      <c r="I3" s="73"/>
      <c r="J3" s="73"/>
    </row>
    <row r="4" spans="1:16" x14ac:dyDescent="0.3">
      <c r="A4" s="17"/>
      <c r="C4" s="7"/>
      <c r="D4" s="72"/>
      <c r="E4" s="19"/>
      <c r="F4" s="19"/>
      <c r="G4" s="20"/>
    </row>
    <row r="5" spans="1:16" x14ac:dyDescent="0.3">
      <c r="A5" s="17"/>
      <c r="C5" s="7"/>
      <c r="D5" s="72"/>
      <c r="E5" s="19" t="s">
        <v>21</v>
      </c>
      <c r="F5" s="73"/>
      <c r="G5" s="74"/>
      <c r="H5" s="73"/>
      <c r="I5" s="73"/>
      <c r="J5" s="73"/>
    </row>
    <row r="6" spans="1:16" x14ac:dyDescent="0.3">
      <c r="A6" s="17"/>
      <c r="C6" s="7"/>
      <c r="D6" s="72"/>
      <c r="E6" s="19" t="s">
        <v>22</v>
      </c>
      <c r="F6" s="73"/>
      <c r="G6" s="74"/>
      <c r="H6" s="73"/>
      <c r="I6" s="73"/>
      <c r="J6" s="73"/>
    </row>
    <row r="7" spans="1:16" x14ac:dyDescent="0.3">
      <c r="A7" s="17"/>
      <c r="C7" s="7"/>
      <c r="D7" s="72"/>
      <c r="E7" s="19" t="s">
        <v>23</v>
      </c>
      <c r="F7" s="73"/>
      <c r="G7" s="74"/>
      <c r="H7" s="73"/>
      <c r="I7" s="73"/>
      <c r="J7" s="73"/>
    </row>
    <row r="8" spans="1:16" x14ac:dyDescent="0.3">
      <c r="A8" s="21" t="s">
        <v>24</v>
      </c>
      <c r="C8" s="7"/>
      <c r="D8" s="72"/>
      <c r="E8" s="19"/>
      <c r="F8" s="73"/>
      <c r="G8" s="74"/>
      <c r="H8" s="73"/>
      <c r="I8" s="73"/>
      <c r="J8" s="73"/>
    </row>
    <row r="9" spans="1:16" x14ac:dyDescent="0.3">
      <c r="A9" s="21" t="s">
        <v>555</v>
      </c>
      <c r="C9" s="7"/>
      <c r="D9" s="72"/>
      <c r="E9" s="22" t="s">
        <v>25</v>
      </c>
      <c r="F9" s="73"/>
      <c r="G9" s="74"/>
      <c r="H9" s="73"/>
      <c r="I9" s="73"/>
      <c r="J9" s="73"/>
    </row>
    <row r="10" spans="1:16" ht="22.2" customHeight="1" x14ac:dyDescent="0.3">
      <c r="A10" s="23" t="s">
        <v>26</v>
      </c>
      <c r="B10" s="24"/>
      <c r="C10" s="25"/>
      <c r="D10" s="62"/>
      <c r="E10" s="27" t="s">
        <v>27</v>
      </c>
      <c r="F10" s="243"/>
      <c r="G10" s="244"/>
      <c r="H10" s="73"/>
      <c r="I10" s="73"/>
      <c r="J10" s="73"/>
    </row>
    <row r="11" spans="1:16" x14ac:dyDescent="0.3">
      <c r="A11" s="28" t="s">
        <v>28</v>
      </c>
      <c r="B11" s="28" t="s">
        <v>29</v>
      </c>
      <c r="C11" s="28" t="s">
        <v>30</v>
      </c>
      <c r="D11" s="63" t="s">
        <v>31</v>
      </c>
      <c r="E11" s="39" t="s">
        <v>32</v>
      </c>
      <c r="F11" s="29" t="s">
        <v>33</v>
      </c>
      <c r="G11" s="28" t="s">
        <v>76</v>
      </c>
      <c r="H11" s="7"/>
      <c r="I11" s="28" t="s">
        <v>443</v>
      </c>
      <c r="J11" s="28" t="s">
        <v>541</v>
      </c>
      <c r="K11" s="162" t="s">
        <v>444</v>
      </c>
      <c r="L11" s="162" t="s">
        <v>445</v>
      </c>
      <c r="M11" s="157" t="s">
        <v>540</v>
      </c>
      <c r="N11" s="161">
        <v>1.3</v>
      </c>
      <c r="O11" s="157" t="s">
        <v>463</v>
      </c>
      <c r="P11" s="157" t="s">
        <v>464</v>
      </c>
    </row>
    <row r="12" spans="1:16" x14ac:dyDescent="0.3">
      <c r="A12" s="40" t="s">
        <v>34</v>
      </c>
      <c r="B12" s="217" t="s">
        <v>35</v>
      </c>
      <c r="C12" s="218"/>
      <c r="D12" s="218"/>
      <c r="E12" s="218"/>
      <c r="F12" s="218"/>
      <c r="G12" s="219"/>
      <c r="H12" s="3"/>
      <c r="I12" s="77"/>
      <c r="J12" s="77"/>
      <c r="K12" s="28"/>
      <c r="L12" s="28"/>
      <c r="M12" s="43"/>
      <c r="N12" s="43"/>
      <c r="O12" s="43"/>
      <c r="P12" s="43"/>
    </row>
    <row r="13" spans="1:16" ht="55.2" customHeight="1" x14ac:dyDescent="0.3">
      <c r="A13" s="40">
        <v>1</v>
      </c>
      <c r="B13" s="41" t="s">
        <v>314</v>
      </c>
      <c r="C13" s="40" t="s">
        <v>78</v>
      </c>
      <c r="D13" s="64">
        <v>120</v>
      </c>
      <c r="E13" s="37">
        <v>150</v>
      </c>
      <c r="F13" s="42">
        <f>D13*E13</f>
        <v>18000</v>
      </c>
      <c r="G13" s="28" t="s">
        <v>313</v>
      </c>
      <c r="H13" s="7"/>
      <c r="I13" s="28"/>
      <c r="J13" s="28"/>
      <c r="K13" s="28"/>
      <c r="L13" s="28"/>
      <c r="M13" s="43"/>
      <c r="N13" s="43"/>
      <c r="O13" s="43"/>
      <c r="P13" s="43"/>
    </row>
    <row r="14" spans="1:16" ht="55.2" customHeight="1" x14ac:dyDescent="0.3">
      <c r="A14" s="40">
        <v>2</v>
      </c>
      <c r="B14" s="41" t="s">
        <v>316</v>
      </c>
      <c r="C14" s="40" t="s">
        <v>78</v>
      </c>
      <c r="D14" s="64">
        <v>60</v>
      </c>
      <c r="E14" s="37">
        <v>170</v>
      </c>
      <c r="F14" s="42">
        <f t="shared" ref="F14:F30" si="0">D14*E14</f>
        <v>10200</v>
      </c>
      <c r="G14" s="28" t="s">
        <v>315</v>
      </c>
      <c r="H14" s="7"/>
      <c r="I14" s="28"/>
      <c r="J14" s="28"/>
      <c r="K14" s="28"/>
      <c r="L14" s="28"/>
      <c r="M14" s="43"/>
      <c r="N14" s="43"/>
      <c r="O14" s="43"/>
      <c r="P14" s="43"/>
    </row>
    <row r="15" spans="1:16" ht="55.2" customHeight="1" x14ac:dyDescent="0.3">
      <c r="A15" s="40">
        <v>3</v>
      </c>
      <c r="B15" s="45" t="s">
        <v>112</v>
      </c>
      <c r="C15" s="40" t="s">
        <v>83</v>
      </c>
      <c r="D15" s="65">
        <v>1</v>
      </c>
      <c r="E15" s="34">
        <v>2200</v>
      </c>
      <c r="F15" s="42">
        <f>D15*E15</f>
        <v>2200</v>
      </c>
      <c r="G15" s="28" t="s">
        <v>84</v>
      </c>
      <c r="H15" s="7"/>
      <c r="I15" s="28"/>
      <c r="J15" s="28"/>
      <c r="K15" s="28"/>
      <c r="L15" s="28"/>
      <c r="M15" s="43"/>
      <c r="N15" s="43"/>
      <c r="O15" s="43"/>
      <c r="P15" s="43"/>
    </row>
    <row r="16" spans="1:16" ht="55.2" customHeight="1" x14ac:dyDescent="0.3">
      <c r="A16" s="40">
        <v>4</v>
      </c>
      <c r="B16" s="44" t="s">
        <v>54</v>
      </c>
      <c r="C16" s="40" t="s">
        <v>83</v>
      </c>
      <c r="D16" s="65">
        <v>1</v>
      </c>
      <c r="E16" s="34">
        <v>2201</v>
      </c>
      <c r="F16" s="42">
        <f>D16*E16</f>
        <v>2201</v>
      </c>
      <c r="G16" s="28" t="s">
        <v>85</v>
      </c>
      <c r="H16" s="7"/>
      <c r="I16" s="28"/>
      <c r="J16" s="28"/>
      <c r="K16" s="28"/>
      <c r="L16" s="28"/>
      <c r="M16" s="43"/>
      <c r="N16" s="43"/>
      <c r="O16" s="43"/>
      <c r="P16" s="43"/>
    </row>
    <row r="17" spans="1:16" ht="55.2" customHeight="1" x14ac:dyDescent="0.3">
      <c r="A17" s="40">
        <v>5</v>
      </c>
      <c r="B17" s="45" t="s">
        <v>318</v>
      </c>
      <c r="C17" s="40" t="s">
        <v>78</v>
      </c>
      <c r="D17" s="65">
        <v>1</v>
      </c>
      <c r="E17" s="34">
        <v>2200</v>
      </c>
      <c r="F17" s="42">
        <f>D17*E17</f>
        <v>2200</v>
      </c>
      <c r="G17" s="28" t="s">
        <v>317</v>
      </c>
      <c r="H17" s="7"/>
      <c r="I17" s="28"/>
      <c r="J17" s="28"/>
      <c r="K17" s="28"/>
      <c r="L17" s="28"/>
      <c r="M17" s="43"/>
      <c r="N17" s="43"/>
      <c r="O17" s="43"/>
      <c r="P17" s="43"/>
    </row>
    <row r="18" spans="1:16" ht="55.2" customHeight="1" x14ac:dyDescent="0.3">
      <c r="A18" s="40">
        <v>6</v>
      </c>
      <c r="B18" s="45" t="s">
        <v>113</v>
      </c>
      <c r="C18" s="40" t="s">
        <v>87</v>
      </c>
      <c r="D18" s="65">
        <v>4</v>
      </c>
      <c r="E18" s="34">
        <v>211</v>
      </c>
      <c r="F18" s="42">
        <f>D18*E18</f>
        <v>844</v>
      </c>
      <c r="G18" s="28" t="s">
        <v>88</v>
      </c>
      <c r="H18" s="7"/>
      <c r="I18" s="28"/>
      <c r="J18" s="28"/>
      <c r="K18" s="28"/>
      <c r="L18" s="28"/>
      <c r="M18" s="43"/>
      <c r="N18" s="43"/>
      <c r="O18" s="43"/>
      <c r="P18" s="43"/>
    </row>
    <row r="19" spans="1:16" ht="55.2" customHeight="1" x14ac:dyDescent="0.3">
      <c r="A19" s="40">
        <v>7</v>
      </c>
      <c r="B19" s="44" t="s">
        <v>319</v>
      </c>
      <c r="C19" s="40" t="s">
        <v>87</v>
      </c>
      <c r="D19" s="65">
        <v>400</v>
      </c>
      <c r="E19" s="34">
        <v>50</v>
      </c>
      <c r="F19" s="42">
        <f t="shared" si="0"/>
        <v>20000</v>
      </c>
      <c r="G19" s="28" t="s">
        <v>320</v>
      </c>
      <c r="H19" s="7"/>
      <c r="I19" s="28"/>
      <c r="J19" s="28"/>
      <c r="K19" s="28"/>
      <c r="L19" s="28"/>
      <c r="M19" s="43"/>
      <c r="N19" s="43"/>
      <c r="O19" s="43"/>
      <c r="P19" s="43"/>
    </row>
    <row r="20" spans="1:16" ht="55.2" customHeight="1" x14ac:dyDescent="0.3">
      <c r="A20" s="40">
        <v>8</v>
      </c>
      <c r="B20" s="45" t="s">
        <v>322</v>
      </c>
      <c r="C20" s="40" t="s">
        <v>78</v>
      </c>
      <c r="D20" s="65">
        <v>4</v>
      </c>
      <c r="E20" s="34">
        <v>211</v>
      </c>
      <c r="F20" s="42">
        <f>D20*E20</f>
        <v>844</v>
      </c>
      <c r="G20" s="28" t="s">
        <v>321</v>
      </c>
      <c r="H20" s="7"/>
      <c r="I20" s="28"/>
      <c r="J20" s="28"/>
      <c r="K20" s="28"/>
      <c r="L20" s="28"/>
      <c r="M20" s="43"/>
      <c r="N20" s="43"/>
      <c r="O20" s="43"/>
      <c r="P20" s="43"/>
    </row>
    <row r="21" spans="1:16" ht="55.2" customHeight="1" x14ac:dyDescent="0.3">
      <c r="A21" s="40">
        <v>9</v>
      </c>
      <c r="B21" s="45" t="s">
        <v>36</v>
      </c>
      <c r="C21" s="40" t="s">
        <v>78</v>
      </c>
      <c r="D21" s="65">
        <v>10</v>
      </c>
      <c r="E21" s="34">
        <v>120</v>
      </c>
      <c r="F21" s="42">
        <f>D21*E21</f>
        <v>1200</v>
      </c>
      <c r="G21" s="28" t="s">
        <v>95</v>
      </c>
      <c r="H21" s="7"/>
      <c r="I21" s="28"/>
      <c r="J21" s="28"/>
      <c r="K21" s="28"/>
      <c r="L21" s="28"/>
      <c r="M21" s="43"/>
      <c r="N21" s="43"/>
      <c r="O21" s="43"/>
      <c r="P21" s="43"/>
    </row>
    <row r="22" spans="1:16" ht="55.2" customHeight="1" x14ac:dyDescent="0.3">
      <c r="A22" s="40">
        <v>10</v>
      </c>
      <c r="B22" s="45" t="s">
        <v>37</v>
      </c>
      <c r="C22" s="40" t="s">
        <v>78</v>
      </c>
      <c r="D22" s="65">
        <v>10</v>
      </c>
      <c r="E22" s="34">
        <v>100</v>
      </c>
      <c r="F22" s="42">
        <f>D22*E22</f>
        <v>1000</v>
      </c>
      <c r="G22" s="28" t="s">
        <v>96</v>
      </c>
      <c r="H22" s="7"/>
      <c r="I22" s="28"/>
      <c r="J22" s="28"/>
      <c r="K22" s="28"/>
      <c r="L22" s="28"/>
      <c r="M22" s="43"/>
      <c r="N22" s="43"/>
      <c r="O22" s="43"/>
      <c r="P22" s="43"/>
    </row>
    <row r="23" spans="1:16" ht="55.2" customHeight="1" x14ac:dyDescent="0.3">
      <c r="A23" s="40">
        <v>11</v>
      </c>
      <c r="B23" s="45" t="s">
        <v>61</v>
      </c>
      <c r="C23" s="40" t="s">
        <v>78</v>
      </c>
      <c r="D23" s="66">
        <v>10</v>
      </c>
      <c r="E23" s="46">
        <v>130</v>
      </c>
      <c r="F23" s="42">
        <f>D23*E23</f>
        <v>1300</v>
      </c>
      <c r="G23" s="28" t="s">
        <v>99</v>
      </c>
      <c r="H23" s="7"/>
      <c r="I23" s="28"/>
      <c r="J23" s="28"/>
      <c r="K23" s="28"/>
      <c r="L23" s="28"/>
      <c r="M23" s="43"/>
      <c r="N23" s="43"/>
      <c r="O23" s="43"/>
      <c r="P23" s="43"/>
    </row>
    <row r="24" spans="1:16" ht="55.2" customHeight="1" x14ac:dyDescent="0.3">
      <c r="A24" s="40">
        <v>12</v>
      </c>
      <c r="B24" s="44" t="s">
        <v>323</v>
      </c>
      <c r="C24" s="40" t="s">
        <v>78</v>
      </c>
      <c r="D24" s="65">
        <v>400</v>
      </c>
      <c r="E24" s="34">
        <v>150</v>
      </c>
      <c r="F24" s="42">
        <f t="shared" si="0"/>
        <v>60000</v>
      </c>
      <c r="G24" s="40" t="s">
        <v>105</v>
      </c>
      <c r="H24" s="7"/>
      <c r="I24" s="28"/>
      <c r="J24" s="28"/>
      <c r="K24" s="28"/>
      <c r="L24" s="28"/>
      <c r="M24" s="43"/>
      <c r="N24" s="43"/>
      <c r="O24" s="43"/>
      <c r="P24" s="43"/>
    </row>
    <row r="25" spans="1:16" ht="55.2" customHeight="1" x14ac:dyDescent="0.3">
      <c r="A25" s="40">
        <v>13</v>
      </c>
      <c r="B25" s="31" t="s">
        <v>324</v>
      </c>
      <c r="C25" s="40" t="s">
        <v>15</v>
      </c>
      <c r="D25" s="65">
        <v>105</v>
      </c>
      <c r="E25" s="34">
        <v>90</v>
      </c>
      <c r="F25" s="42">
        <f t="shared" si="0"/>
        <v>9450</v>
      </c>
      <c r="G25" s="28" t="s">
        <v>325</v>
      </c>
      <c r="H25" s="7"/>
      <c r="I25" s="28"/>
      <c r="J25" s="28"/>
      <c r="K25" s="28"/>
      <c r="L25" s="28"/>
      <c r="M25" s="43"/>
      <c r="N25" s="43"/>
      <c r="O25" s="43"/>
      <c r="P25" s="43"/>
    </row>
    <row r="26" spans="1:16" ht="55.2" customHeight="1" x14ac:dyDescent="0.3">
      <c r="A26" s="40">
        <v>14</v>
      </c>
      <c r="B26" s="36" t="s">
        <v>326</v>
      </c>
      <c r="C26" s="40" t="s">
        <v>15</v>
      </c>
      <c r="D26" s="64">
        <v>20</v>
      </c>
      <c r="E26" s="37">
        <v>800</v>
      </c>
      <c r="F26" s="42">
        <f t="shared" si="0"/>
        <v>16000</v>
      </c>
      <c r="G26" s="28" t="s">
        <v>327</v>
      </c>
      <c r="H26" s="7"/>
      <c r="I26" s="28"/>
      <c r="J26" s="28"/>
      <c r="K26" s="28"/>
      <c r="L26" s="28"/>
      <c r="M26" s="43"/>
      <c r="N26" s="43"/>
      <c r="O26" s="43"/>
      <c r="P26" s="43"/>
    </row>
    <row r="27" spans="1:16" ht="55.2" customHeight="1" x14ac:dyDescent="0.3">
      <c r="A27" s="40">
        <v>15</v>
      </c>
      <c r="B27" s="45" t="s">
        <v>328</v>
      </c>
      <c r="C27" s="40" t="s">
        <v>15</v>
      </c>
      <c r="D27" s="65">
        <v>10</v>
      </c>
      <c r="E27" s="34">
        <v>120</v>
      </c>
      <c r="F27" s="42">
        <f t="shared" si="0"/>
        <v>1200</v>
      </c>
      <c r="G27" s="28" t="s">
        <v>329</v>
      </c>
      <c r="H27" s="7"/>
      <c r="I27" s="28"/>
      <c r="J27" s="28"/>
      <c r="K27" s="28"/>
      <c r="L27" s="28"/>
      <c r="M27" s="43"/>
      <c r="N27" s="43"/>
      <c r="O27" s="43"/>
      <c r="P27" s="43"/>
    </row>
    <row r="28" spans="1:16" ht="55.2" customHeight="1" x14ac:dyDescent="0.3">
      <c r="A28" s="40">
        <v>16</v>
      </c>
      <c r="B28" s="45" t="s">
        <v>330</v>
      </c>
      <c r="C28" s="40" t="s">
        <v>78</v>
      </c>
      <c r="D28" s="65">
        <v>10</v>
      </c>
      <c r="E28" s="34">
        <v>100</v>
      </c>
      <c r="F28" s="42">
        <f t="shared" si="0"/>
        <v>1000</v>
      </c>
      <c r="G28" s="28" t="s">
        <v>331</v>
      </c>
      <c r="H28" s="7"/>
      <c r="I28" s="28"/>
      <c r="J28" s="28"/>
      <c r="K28" s="28"/>
      <c r="L28" s="28"/>
      <c r="M28" s="43"/>
      <c r="N28" s="43"/>
      <c r="O28" s="43"/>
      <c r="P28" s="43"/>
    </row>
    <row r="29" spans="1:16" ht="55.2" customHeight="1" x14ac:dyDescent="0.3">
      <c r="A29" s="40">
        <v>17</v>
      </c>
      <c r="B29" s="45" t="s">
        <v>332</v>
      </c>
      <c r="C29" s="40" t="s">
        <v>78</v>
      </c>
      <c r="D29" s="64">
        <v>10</v>
      </c>
      <c r="E29" s="37">
        <v>180</v>
      </c>
      <c r="F29" s="42">
        <f t="shared" si="0"/>
        <v>1800</v>
      </c>
      <c r="G29" s="28" t="s">
        <v>333</v>
      </c>
      <c r="H29" s="7"/>
      <c r="I29" s="28"/>
      <c r="J29" s="28"/>
      <c r="K29" s="28"/>
      <c r="L29" s="28"/>
      <c r="M29" s="43"/>
      <c r="N29" s="43"/>
      <c r="O29" s="43"/>
      <c r="P29" s="43"/>
    </row>
    <row r="30" spans="1:16" ht="55.2" customHeight="1" x14ac:dyDescent="0.3">
      <c r="A30" s="40">
        <v>18</v>
      </c>
      <c r="B30" s="45" t="s">
        <v>334</v>
      </c>
      <c r="C30" s="40" t="s">
        <v>336</v>
      </c>
      <c r="D30" s="64">
        <v>10</v>
      </c>
      <c r="E30" s="37">
        <v>130</v>
      </c>
      <c r="F30" s="42">
        <f t="shared" si="0"/>
        <v>1300</v>
      </c>
      <c r="G30" s="28" t="s">
        <v>335</v>
      </c>
      <c r="H30" s="7"/>
      <c r="I30" s="28"/>
      <c r="J30" s="28"/>
      <c r="K30" s="28"/>
      <c r="L30" s="28"/>
      <c r="M30" s="43"/>
      <c r="N30" s="43"/>
      <c r="O30" s="43"/>
      <c r="P30" s="43"/>
    </row>
    <row r="31" spans="1:16" ht="30" customHeight="1" x14ac:dyDescent="0.3">
      <c r="A31" s="40"/>
      <c r="B31" s="48" t="s">
        <v>39</v>
      </c>
      <c r="C31" s="28"/>
      <c r="D31" s="67"/>
      <c r="E31" s="49"/>
      <c r="F31" s="50">
        <f>SUM(F13:F30)</f>
        <v>150739</v>
      </c>
      <c r="G31" s="43"/>
      <c r="I31" s="43"/>
      <c r="J31" s="43"/>
      <c r="K31" s="28"/>
      <c r="L31" s="28"/>
      <c r="M31" s="43"/>
      <c r="N31" s="43"/>
      <c r="O31" s="43"/>
      <c r="P31" s="43"/>
    </row>
    <row r="32" spans="1:16" ht="30" customHeight="1" x14ac:dyDescent="0.3">
      <c r="A32" s="40"/>
      <c r="B32" s="48" t="s">
        <v>40</v>
      </c>
      <c r="C32" s="70">
        <v>0.15</v>
      </c>
      <c r="D32" s="68"/>
      <c r="E32" s="49"/>
      <c r="F32" s="50">
        <f>F31*C32</f>
        <v>22610.85</v>
      </c>
      <c r="G32" s="43"/>
      <c r="I32" s="43"/>
      <c r="J32" s="43"/>
      <c r="K32" s="28"/>
      <c r="L32" s="28"/>
      <c r="M32" s="43"/>
      <c r="N32" s="43"/>
      <c r="O32" s="43"/>
      <c r="P32" s="43"/>
    </row>
    <row r="33" spans="1:16" ht="30" customHeight="1" x14ac:dyDescent="0.3">
      <c r="A33" s="40"/>
      <c r="B33" s="48" t="s">
        <v>41</v>
      </c>
      <c r="C33" s="28"/>
      <c r="D33" s="68"/>
      <c r="E33" s="49"/>
      <c r="F33" s="50">
        <f>SUM(F31:F32)</f>
        <v>173349.85</v>
      </c>
      <c r="G33" s="43"/>
      <c r="I33" s="43"/>
      <c r="J33" s="43"/>
      <c r="K33" s="28"/>
      <c r="L33" s="28"/>
      <c r="M33" s="43"/>
      <c r="N33" s="43"/>
      <c r="O33" s="43"/>
      <c r="P33" s="43"/>
    </row>
    <row r="34" spans="1:16" x14ac:dyDescent="0.3">
      <c r="A34" s="40"/>
      <c r="B34" s="43"/>
      <c r="C34" s="43"/>
      <c r="D34" s="66"/>
      <c r="E34" s="47"/>
      <c r="F34" s="42"/>
      <c r="G34" s="43"/>
      <c r="I34" s="43"/>
      <c r="J34" s="43"/>
      <c r="K34" s="28"/>
      <c r="L34" s="28"/>
      <c r="M34" s="43"/>
      <c r="N34" s="43"/>
      <c r="O34" s="43"/>
      <c r="P34" s="43"/>
    </row>
    <row r="35" spans="1:16" x14ac:dyDescent="0.3">
      <c r="A35" s="40" t="s">
        <v>77</v>
      </c>
      <c r="B35" s="217" t="s">
        <v>42</v>
      </c>
      <c r="C35" s="218"/>
      <c r="D35" s="218"/>
      <c r="E35" s="218"/>
      <c r="F35" s="218"/>
      <c r="G35" s="219"/>
      <c r="H35" s="3"/>
      <c r="I35" s="77"/>
      <c r="J35" s="77"/>
      <c r="K35" s="28"/>
      <c r="L35" s="28"/>
      <c r="M35" s="43"/>
      <c r="N35" s="43"/>
      <c r="O35" s="43"/>
      <c r="P35" s="43"/>
    </row>
    <row r="36" spans="1:16" ht="55.2" customHeight="1" x14ac:dyDescent="0.3">
      <c r="A36" s="40">
        <v>1</v>
      </c>
      <c r="B36" s="31" t="s">
        <v>65</v>
      </c>
      <c r="C36" s="32" t="s">
        <v>1</v>
      </c>
      <c r="D36" s="65">
        <v>2</v>
      </c>
      <c r="E36" s="34">
        <v>2000</v>
      </c>
      <c r="F36" s="35">
        <f>D36*E36</f>
        <v>4000</v>
      </c>
      <c r="G36" s="28" t="s">
        <v>122</v>
      </c>
      <c r="H36" s="7"/>
      <c r="I36" s="28"/>
      <c r="J36" s="28"/>
      <c r="K36" s="28"/>
      <c r="L36" s="28"/>
      <c r="M36" s="43"/>
      <c r="N36" s="43"/>
      <c r="O36" s="43"/>
      <c r="P36" s="43"/>
    </row>
    <row r="37" spans="1:16" ht="55.2" customHeight="1" x14ac:dyDescent="0.3">
      <c r="A37" s="40">
        <v>2</v>
      </c>
      <c r="B37" s="36" t="s">
        <v>337</v>
      </c>
      <c r="C37" s="32" t="s">
        <v>19</v>
      </c>
      <c r="D37" s="65">
        <v>25</v>
      </c>
      <c r="E37" s="37">
        <v>430</v>
      </c>
      <c r="F37" s="35">
        <f t="shared" ref="F37:F56" si="1">D37*E37</f>
        <v>10750</v>
      </c>
      <c r="G37" s="28" t="s">
        <v>338</v>
      </c>
      <c r="H37" s="7"/>
      <c r="I37" s="28"/>
      <c r="J37" s="28"/>
      <c r="K37" s="28"/>
      <c r="L37" s="43"/>
      <c r="M37" s="43"/>
      <c r="N37" s="43"/>
      <c r="O37" s="43"/>
      <c r="P37" s="43"/>
    </row>
    <row r="38" spans="1:16" ht="55.2" customHeight="1" x14ac:dyDescent="0.3">
      <c r="A38" s="40">
        <v>3</v>
      </c>
      <c r="B38" s="79" t="s">
        <v>340</v>
      </c>
      <c r="C38" s="28" t="s">
        <v>13</v>
      </c>
      <c r="D38" s="65">
        <v>2</v>
      </c>
      <c r="E38" s="34">
        <v>10000</v>
      </c>
      <c r="F38" s="35">
        <f t="shared" si="1"/>
        <v>20000</v>
      </c>
      <c r="G38" s="28" t="s">
        <v>339</v>
      </c>
      <c r="H38" s="7"/>
      <c r="I38" s="28"/>
      <c r="J38" s="28"/>
      <c r="K38" s="28"/>
      <c r="L38" s="43"/>
      <c r="M38" s="43"/>
      <c r="N38" s="43"/>
      <c r="O38" s="43"/>
      <c r="P38" s="43"/>
    </row>
    <row r="39" spans="1:16" ht="55.2" customHeight="1" x14ac:dyDescent="0.3">
      <c r="A39" s="40">
        <v>4</v>
      </c>
      <c r="B39" s="53" t="s">
        <v>342</v>
      </c>
      <c r="C39" s="40" t="s">
        <v>6</v>
      </c>
      <c r="D39" s="65">
        <v>10</v>
      </c>
      <c r="E39" s="34">
        <v>200</v>
      </c>
      <c r="F39" s="35">
        <f t="shared" si="1"/>
        <v>2000</v>
      </c>
      <c r="G39" s="28" t="s">
        <v>341</v>
      </c>
      <c r="H39" s="7"/>
      <c r="I39" s="28"/>
      <c r="J39" s="28"/>
      <c r="K39" s="28"/>
      <c r="L39" s="43"/>
      <c r="M39" s="43"/>
      <c r="N39" s="43"/>
      <c r="O39" s="43"/>
      <c r="P39" s="43"/>
    </row>
    <row r="40" spans="1:16" ht="55.2" customHeight="1" x14ac:dyDescent="0.3">
      <c r="A40" s="40">
        <v>5</v>
      </c>
      <c r="B40" s="51" t="s">
        <v>343</v>
      </c>
      <c r="C40" s="40" t="s">
        <v>6</v>
      </c>
      <c r="D40" s="65">
        <v>10</v>
      </c>
      <c r="E40" s="34">
        <v>250</v>
      </c>
      <c r="F40" s="35">
        <f t="shared" si="1"/>
        <v>2500</v>
      </c>
      <c r="G40" s="28" t="s">
        <v>126</v>
      </c>
      <c r="H40" s="7"/>
      <c r="I40" s="28"/>
      <c r="J40" s="28"/>
      <c r="K40" s="28"/>
      <c r="L40" s="28"/>
      <c r="M40" s="43"/>
      <c r="N40" s="43"/>
      <c r="O40" s="43"/>
      <c r="P40" s="43"/>
    </row>
    <row r="41" spans="1:16" ht="55.2" customHeight="1" x14ac:dyDescent="0.3">
      <c r="A41" s="40">
        <v>6</v>
      </c>
      <c r="B41" s="53" t="s">
        <v>344</v>
      </c>
      <c r="C41" s="40" t="s">
        <v>7</v>
      </c>
      <c r="D41" s="65">
        <v>100</v>
      </c>
      <c r="E41" s="34">
        <v>290</v>
      </c>
      <c r="F41" s="35">
        <f t="shared" si="1"/>
        <v>29000</v>
      </c>
      <c r="G41" s="28" t="s">
        <v>146</v>
      </c>
      <c r="H41" s="7"/>
      <c r="I41" s="28"/>
      <c r="J41" s="28"/>
      <c r="K41" s="28"/>
      <c r="L41" s="28"/>
      <c r="M41" s="43"/>
      <c r="N41" s="43"/>
      <c r="O41" s="43"/>
      <c r="P41" s="43"/>
    </row>
    <row r="42" spans="1:16" ht="55.2" customHeight="1" x14ac:dyDescent="0.3">
      <c r="A42" s="40">
        <v>7</v>
      </c>
      <c r="B42" s="52" t="s">
        <v>346</v>
      </c>
      <c r="C42" s="40" t="s">
        <v>7</v>
      </c>
      <c r="D42" s="65">
        <v>200</v>
      </c>
      <c r="E42" s="34">
        <v>290</v>
      </c>
      <c r="F42" s="35">
        <f>D42*E42</f>
        <v>58000</v>
      </c>
      <c r="G42" s="28" t="s">
        <v>345</v>
      </c>
      <c r="H42" s="7"/>
      <c r="I42" s="28"/>
      <c r="J42" s="28"/>
      <c r="K42" s="28"/>
      <c r="L42" s="28"/>
      <c r="M42" s="43"/>
      <c r="N42" s="43"/>
      <c r="O42" s="43"/>
      <c r="P42" s="43"/>
    </row>
    <row r="43" spans="1:16" ht="55.2" customHeight="1" x14ac:dyDescent="0.3">
      <c r="A43" s="40">
        <v>8</v>
      </c>
      <c r="B43" s="52" t="s">
        <v>348</v>
      </c>
      <c r="C43" s="40" t="s">
        <v>7</v>
      </c>
      <c r="D43" s="65">
        <v>50</v>
      </c>
      <c r="E43" s="34">
        <v>2000</v>
      </c>
      <c r="F43" s="35">
        <f t="shared" si="1"/>
        <v>100000</v>
      </c>
      <c r="G43" s="28" t="s">
        <v>347</v>
      </c>
      <c r="H43" s="7"/>
      <c r="I43" s="28"/>
      <c r="J43" s="28"/>
      <c r="K43" s="28"/>
      <c r="L43" s="28"/>
      <c r="M43" s="43"/>
      <c r="N43" s="43"/>
      <c r="O43" s="157" t="s">
        <v>468</v>
      </c>
      <c r="P43" s="157">
        <v>300</v>
      </c>
    </row>
    <row r="44" spans="1:16" ht="55.2" customHeight="1" x14ac:dyDescent="0.3">
      <c r="A44" s="40">
        <v>9</v>
      </c>
      <c r="B44" s="52" t="s">
        <v>350</v>
      </c>
      <c r="C44" s="40" t="s">
        <v>6</v>
      </c>
      <c r="D44" s="65">
        <v>50</v>
      </c>
      <c r="E44" s="34">
        <v>350</v>
      </c>
      <c r="F44" s="35">
        <f t="shared" si="1"/>
        <v>17500</v>
      </c>
      <c r="G44" s="28" t="s">
        <v>349</v>
      </c>
      <c r="H44" s="7"/>
      <c r="I44" s="28"/>
      <c r="J44" s="28"/>
      <c r="K44" s="28"/>
      <c r="L44" s="28"/>
      <c r="M44" s="43"/>
      <c r="N44" s="43"/>
      <c r="O44" s="43"/>
      <c r="P44" s="43"/>
    </row>
    <row r="45" spans="1:16" ht="55.2" customHeight="1" x14ac:dyDescent="0.3">
      <c r="A45" s="40">
        <v>10</v>
      </c>
      <c r="B45" s="51" t="s">
        <v>352</v>
      </c>
      <c r="C45" s="40" t="s">
        <v>7</v>
      </c>
      <c r="D45" s="65">
        <v>200</v>
      </c>
      <c r="E45" s="34">
        <v>140</v>
      </c>
      <c r="F45" s="35">
        <f t="shared" si="1"/>
        <v>28000</v>
      </c>
      <c r="G45" s="28" t="s">
        <v>351</v>
      </c>
      <c r="H45" s="7"/>
      <c r="I45" s="28"/>
      <c r="J45" s="28"/>
      <c r="K45" s="28"/>
      <c r="L45" s="28"/>
      <c r="M45" s="43"/>
      <c r="N45" s="43"/>
      <c r="O45" s="43"/>
      <c r="P45" s="43"/>
    </row>
    <row r="46" spans="1:16" ht="55.2" customHeight="1" x14ac:dyDescent="0.3">
      <c r="A46" s="40">
        <v>11</v>
      </c>
      <c r="B46" s="52" t="s">
        <v>353</v>
      </c>
      <c r="C46" s="40" t="s">
        <v>18</v>
      </c>
      <c r="D46" s="65">
        <v>200</v>
      </c>
      <c r="E46" s="37">
        <v>150</v>
      </c>
      <c r="F46" s="35">
        <f t="shared" si="1"/>
        <v>30000</v>
      </c>
      <c r="G46" s="28" t="s">
        <v>354</v>
      </c>
      <c r="H46" s="7"/>
      <c r="I46" s="28"/>
      <c r="J46" s="28"/>
      <c r="K46" s="28"/>
      <c r="L46" s="28"/>
      <c r="M46" s="43"/>
      <c r="N46" s="43"/>
      <c r="O46" s="43"/>
      <c r="P46" s="43"/>
    </row>
    <row r="47" spans="1:16" ht="55.2" customHeight="1" x14ac:dyDescent="0.3">
      <c r="A47" s="40">
        <v>12</v>
      </c>
      <c r="B47" s="53" t="s">
        <v>355</v>
      </c>
      <c r="C47" s="40" t="s">
        <v>2</v>
      </c>
      <c r="D47" s="65">
        <v>50</v>
      </c>
      <c r="E47" s="34">
        <v>400</v>
      </c>
      <c r="F47" s="35">
        <f t="shared" si="1"/>
        <v>20000</v>
      </c>
      <c r="G47" s="28" t="s">
        <v>356</v>
      </c>
      <c r="H47" s="7"/>
      <c r="I47" s="28"/>
      <c r="J47" s="28"/>
      <c r="K47" s="28"/>
      <c r="L47" s="28"/>
      <c r="M47" s="43"/>
      <c r="N47" s="43"/>
      <c r="O47" s="43"/>
      <c r="P47" s="43"/>
    </row>
    <row r="48" spans="1:16" ht="55.2" customHeight="1" x14ac:dyDescent="0.3">
      <c r="A48" s="40">
        <v>13</v>
      </c>
      <c r="B48" s="95" t="s">
        <v>358</v>
      </c>
      <c r="C48" s="40" t="s">
        <v>6</v>
      </c>
      <c r="D48" s="65">
        <v>120</v>
      </c>
      <c r="E48" s="34">
        <v>300</v>
      </c>
      <c r="F48" s="35">
        <f>D48*E48</f>
        <v>36000</v>
      </c>
      <c r="G48" s="28" t="s">
        <v>357</v>
      </c>
      <c r="H48" s="7"/>
      <c r="I48" s="28"/>
      <c r="J48" s="28"/>
      <c r="K48" s="28"/>
      <c r="L48" s="28"/>
      <c r="M48" s="43"/>
      <c r="N48" s="43"/>
      <c r="O48" s="43"/>
      <c r="P48" s="43"/>
    </row>
    <row r="49" spans="1:16" ht="55.2" customHeight="1" x14ac:dyDescent="0.3">
      <c r="A49" s="40">
        <v>14</v>
      </c>
      <c r="B49" s="51" t="s">
        <v>360</v>
      </c>
      <c r="C49" s="40" t="s">
        <v>6</v>
      </c>
      <c r="D49" s="65">
        <v>15</v>
      </c>
      <c r="E49" s="34">
        <v>1300</v>
      </c>
      <c r="F49" s="35">
        <f t="shared" si="1"/>
        <v>19500</v>
      </c>
      <c r="G49" s="28" t="s">
        <v>359</v>
      </c>
      <c r="H49" s="7"/>
      <c r="I49" s="28"/>
      <c r="J49" s="28"/>
      <c r="K49" s="28"/>
      <c r="L49" s="28"/>
      <c r="M49" s="43"/>
      <c r="N49" s="43"/>
      <c r="O49" s="43"/>
      <c r="P49" s="43"/>
    </row>
    <row r="50" spans="1:16" ht="55.2" customHeight="1" x14ac:dyDescent="0.3">
      <c r="A50" s="40">
        <v>15</v>
      </c>
      <c r="B50" s="53" t="s">
        <v>361</v>
      </c>
      <c r="C50" s="40" t="s">
        <v>2</v>
      </c>
      <c r="D50" s="65">
        <v>5</v>
      </c>
      <c r="E50" s="37">
        <v>3000</v>
      </c>
      <c r="F50" s="35">
        <f t="shared" si="1"/>
        <v>15000</v>
      </c>
      <c r="G50" s="28" t="s">
        <v>155</v>
      </c>
      <c r="H50" s="7"/>
      <c r="I50" s="28"/>
      <c r="J50" s="28"/>
      <c r="K50" s="28"/>
      <c r="L50" s="28"/>
      <c r="M50" s="43"/>
      <c r="N50" s="43"/>
      <c r="O50" s="43"/>
      <c r="P50" s="43"/>
    </row>
    <row r="51" spans="1:16" ht="55.2" customHeight="1" x14ac:dyDescent="0.3">
      <c r="A51" s="40">
        <v>16</v>
      </c>
      <c r="B51" s="51" t="s">
        <v>363</v>
      </c>
      <c r="C51" s="40" t="s">
        <v>3</v>
      </c>
      <c r="D51" s="65">
        <v>5</v>
      </c>
      <c r="E51" s="37">
        <v>500</v>
      </c>
      <c r="F51" s="35">
        <f t="shared" si="1"/>
        <v>2500</v>
      </c>
      <c r="G51" s="28" t="s">
        <v>362</v>
      </c>
      <c r="H51" s="7"/>
      <c r="I51" s="28"/>
      <c r="J51" s="28"/>
      <c r="K51" s="28"/>
      <c r="L51" s="28"/>
      <c r="M51" s="43"/>
      <c r="N51" s="43"/>
      <c r="O51" s="43"/>
      <c r="P51" s="43"/>
    </row>
    <row r="52" spans="1:16" ht="55.2" customHeight="1" x14ac:dyDescent="0.3">
      <c r="A52" s="40">
        <v>17</v>
      </c>
      <c r="B52" s="51" t="s">
        <v>365</v>
      </c>
      <c r="C52" s="40" t="s">
        <v>8</v>
      </c>
      <c r="D52" s="65">
        <v>15</v>
      </c>
      <c r="E52" s="37">
        <v>3000</v>
      </c>
      <c r="F52" s="35">
        <f t="shared" si="1"/>
        <v>45000</v>
      </c>
      <c r="G52" s="28" t="s">
        <v>364</v>
      </c>
      <c r="H52" s="7"/>
      <c r="I52" s="28"/>
      <c r="J52" s="28"/>
      <c r="K52" s="28"/>
      <c r="L52" s="28"/>
      <c r="M52" s="43"/>
      <c r="N52" s="43"/>
      <c r="O52" s="43"/>
      <c r="P52" s="43"/>
    </row>
    <row r="53" spans="1:16" ht="55.2" customHeight="1" x14ac:dyDescent="0.3">
      <c r="A53" s="40">
        <v>18</v>
      </c>
      <c r="B53" s="51" t="s">
        <v>367</v>
      </c>
      <c r="C53" s="40" t="s">
        <v>6</v>
      </c>
      <c r="D53" s="65">
        <v>3</v>
      </c>
      <c r="E53" s="37">
        <v>4485</v>
      </c>
      <c r="F53" s="35">
        <f>D53*E53</f>
        <v>13455</v>
      </c>
      <c r="G53" s="28" t="s">
        <v>366</v>
      </c>
      <c r="H53" s="7"/>
      <c r="I53" s="28"/>
      <c r="J53" s="28"/>
      <c r="K53" s="28"/>
      <c r="L53" s="28"/>
      <c r="M53" s="43"/>
      <c r="N53" s="43"/>
      <c r="O53" s="43"/>
      <c r="P53" s="43"/>
    </row>
    <row r="54" spans="1:16" ht="55.2" customHeight="1" x14ac:dyDescent="0.3">
      <c r="A54" s="40">
        <v>19</v>
      </c>
      <c r="B54" s="51" t="s">
        <v>369</v>
      </c>
      <c r="C54" s="40" t="s">
        <v>6</v>
      </c>
      <c r="D54" s="65">
        <v>5</v>
      </c>
      <c r="E54" s="37">
        <v>450</v>
      </c>
      <c r="F54" s="35">
        <f>D54*E54</f>
        <v>2250</v>
      </c>
      <c r="G54" s="28" t="s">
        <v>368</v>
      </c>
      <c r="H54" s="7"/>
      <c r="I54" s="28"/>
      <c r="J54" s="28"/>
      <c r="K54" s="28"/>
      <c r="L54" s="28"/>
      <c r="M54" s="43"/>
      <c r="N54" s="43"/>
      <c r="O54" s="43"/>
      <c r="P54" s="43"/>
    </row>
    <row r="55" spans="1:16" ht="55.2" customHeight="1" x14ac:dyDescent="0.3">
      <c r="A55" s="40">
        <v>20</v>
      </c>
      <c r="B55" s="51" t="s">
        <v>371</v>
      </c>
      <c r="C55" s="40" t="s">
        <v>6</v>
      </c>
      <c r="D55" s="65">
        <v>2</v>
      </c>
      <c r="E55" s="37">
        <v>1000</v>
      </c>
      <c r="F55" s="35">
        <f t="shared" si="1"/>
        <v>2000</v>
      </c>
      <c r="G55" s="28" t="s">
        <v>370</v>
      </c>
      <c r="H55" s="7"/>
      <c r="I55" s="28"/>
      <c r="J55" s="28"/>
      <c r="K55" s="28"/>
      <c r="L55" s="28"/>
      <c r="M55" s="43"/>
      <c r="N55" s="43"/>
      <c r="O55" s="43"/>
      <c r="P55" s="43"/>
    </row>
    <row r="56" spans="1:16" ht="55.2" customHeight="1" x14ac:dyDescent="0.3">
      <c r="A56" s="40">
        <v>21</v>
      </c>
      <c r="B56" s="51" t="s">
        <v>373</v>
      </c>
      <c r="C56" s="40" t="s">
        <v>6</v>
      </c>
      <c r="D56" s="65">
        <v>2</v>
      </c>
      <c r="E56" s="37">
        <v>1000</v>
      </c>
      <c r="F56" s="35">
        <f t="shared" si="1"/>
        <v>2000</v>
      </c>
      <c r="G56" s="28" t="s">
        <v>372</v>
      </c>
      <c r="H56" s="7"/>
      <c r="I56" s="28"/>
      <c r="J56" s="28"/>
      <c r="K56" s="28"/>
      <c r="L56" s="28"/>
      <c r="M56" s="43"/>
      <c r="N56" s="43"/>
      <c r="O56" s="43"/>
      <c r="P56" s="43"/>
    </row>
    <row r="57" spans="1:16" ht="30" customHeight="1" x14ac:dyDescent="0.3">
      <c r="A57" s="28"/>
      <c r="B57" s="48" t="s">
        <v>43</v>
      </c>
      <c r="C57" s="28"/>
      <c r="D57" s="67"/>
      <c r="E57" s="49"/>
      <c r="F57" s="50">
        <f>SUM(F36:F56)</f>
        <v>459455</v>
      </c>
      <c r="G57" s="75"/>
      <c r="H57" s="174"/>
      <c r="I57" s="174"/>
      <c r="J57" s="174"/>
      <c r="K57" s="7"/>
      <c r="L57" s="7"/>
    </row>
    <row r="58" spans="1:16" ht="30" customHeight="1" x14ac:dyDescent="0.3">
      <c r="A58" s="28"/>
      <c r="B58" s="48" t="s">
        <v>44</v>
      </c>
      <c r="C58" s="70">
        <v>0.15</v>
      </c>
      <c r="D58" s="68"/>
      <c r="E58" s="49"/>
      <c r="F58" s="50">
        <f>F57*C58</f>
        <v>68918.25</v>
      </c>
      <c r="G58" s="76"/>
      <c r="H58" s="175"/>
      <c r="I58" s="175"/>
      <c r="J58" s="175"/>
      <c r="K58" s="7"/>
      <c r="L58" s="7"/>
    </row>
    <row r="59" spans="1:16" ht="30" customHeight="1" x14ac:dyDescent="0.3">
      <c r="A59" s="28"/>
      <c r="B59" s="48" t="s">
        <v>45</v>
      </c>
      <c r="C59" s="28"/>
      <c r="D59" s="68"/>
      <c r="E59" s="49"/>
      <c r="F59" s="50">
        <f>SUM(F57:F58)</f>
        <v>528373.25</v>
      </c>
      <c r="G59" s="76"/>
      <c r="H59" s="175"/>
      <c r="I59" s="175"/>
      <c r="J59" s="175"/>
      <c r="K59" s="7"/>
      <c r="L59" s="7"/>
    </row>
    <row r="60" spans="1:16" ht="30" customHeight="1" x14ac:dyDescent="0.3">
      <c r="A60" s="28"/>
      <c r="B60" s="54"/>
      <c r="C60" s="28"/>
      <c r="D60" s="66"/>
      <c r="E60" s="55"/>
      <c r="F60" s="56"/>
      <c r="G60" s="77"/>
      <c r="H60" s="3"/>
      <c r="I60" s="3"/>
      <c r="J60" s="3"/>
      <c r="K60" s="7"/>
      <c r="L60" s="7"/>
    </row>
    <row r="61" spans="1:16" ht="30" customHeight="1" x14ac:dyDescent="0.3">
      <c r="A61" s="28"/>
      <c r="B61" s="57" t="s">
        <v>16</v>
      </c>
      <c r="C61" s="28"/>
      <c r="D61" s="68"/>
      <c r="E61" s="49"/>
      <c r="F61" s="58">
        <f>F33+F59</f>
        <v>701723.1</v>
      </c>
      <c r="G61" s="78"/>
      <c r="H61" s="159"/>
      <c r="I61" s="159"/>
      <c r="J61" s="159"/>
      <c r="K61" s="7"/>
      <c r="L61" s="7"/>
    </row>
    <row r="62" spans="1:16" x14ac:dyDescent="0.3">
      <c r="A62" s="228" t="s">
        <v>17</v>
      </c>
      <c r="B62" s="227" t="s">
        <v>46</v>
      </c>
      <c r="C62" s="227"/>
      <c r="D62" s="227"/>
      <c r="E62" s="227"/>
      <c r="F62" s="227"/>
      <c r="G62" s="227"/>
      <c r="K62" s="7"/>
      <c r="L62" s="7"/>
    </row>
    <row r="63" spans="1:16" x14ac:dyDescent="0.3">
      <c r="A63" s="250"/>
      <c r="B63" s="227" t="s">
        <v>47</v>
      </c>
      <c r="C63" s="227"/>
      <c r="D63" s="227"/>
      <c r="E63" s="227"/>
      <c r="F63" s="227"/>
      <c r="G63" s="227"/>
      <c r="K63" s="7"/>
      <c r="L63" s="7"/>
    </row>
    <row r="64" spans="1:16" x14ac:dyDescent="0.3">
      <c r="A64" s="251"/>
      <c r="B64" s="227" t="s">
        <v>480</v>
      </c>
      <c r="C64" s="227"/>
      <c r="D64" s="227"/>
      <c r="E64" s="227"/>
      <c r="F64" s="227"/>
      <c r="G64" s="227"/>
      <c r="K64" s="7"/>
      <c r="L64" s="7"/>
    </row>
    <row r="65" spans="1:1" x14ac:dyDescent="0.3">
      <c r="A65" s="3" t="s">
        <v>49</v>
      </c>
    </row>
    <row r="66" spans="1:1" x14ac:dyDescent="0.3">
      <c r="A66" s="3" t="s">
        <v>535</v>
      </c>
    </row>
    <row r="67" spans="1:1" x14ac:dyDescent="0.3">
      <c r="A67" s="3" t="s">
        <v>250</v>
      </c>
    </row>
  </sheetData>
  <mergeCells count="9">
    <mergeCell ref="A62:A64"/>
    <mergeCell ref="B62:G62"/>
    <mergeCell ref="B64:G64"/>
    <mergeCell ref="A1:G1"/>
    <mergeCell ref="F3:G3"/>
    <mergeCell ref="F10:G10"/>
    <mergeCell ref="B12:G12"/>
    <mergeCell ref="B35:G35"/>
    <mergeCell ref="B63:G63"/>
  </mergeCells>
  <phoneticPr fontId="5" type="noConversion"/>
  <printOptions horizontalCentered="1"/>
  <pageMargins left="0.59055118110236227" right="0.27559055118110237" top="0.39370078740157483" bottom="0.39370078740157483" header="0.19685039370078741" footer="0"/>
  <pageSetup paperSize="9" scale="68" fitToHeight="0" orientation="portrait" horizontalDpi="300" verticalDpi="300" r:id="rId1"/>
  <headerFooter alignWithMargins="0">
    <oddFooter>&amp;C&amp;P/&amp;N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8"/>
  <sheetViews>
    <sheetView showGridLines="0" view="pageBreakPreview" zoomScale="70" zoomScaleNormal="70" zoomScaleSheetLayoutView="70" zoomScalePageLayoutView="85" workbookViewId="0">
      <selection activeCell="G2" sqref="G2"/>
    </sheetView>
  </sheetViews>
  <sheetFormatPr defaultColWidth="9" defaultRowHeight="17.399999999999999" x14ac:dyDescent="0.3"/>
  <cols>
    <col min="1" max="1" width="5.6640625" style="7" customWidth="1"/>
    <col min="2" max="2" width="59.6640625" style="4" customWidth="1"/>
    <col min="3" max="3" width="8.44140625" style="4" customWidth="1"/>
    <col min="4" max="4" width="8.6640625" style="69" customWidth="1"/>
    <col min="5" max="5" width="14.6640625" style="59" bestFit="1" customWidth="1"/>
    <col min="6" max="6" width="15" style="60" customWidth="1"/>
    <col min="7" max="7" width="24" style="4" customWidth="1"/>
    <col min="8" max="8" width="7" style="4" customWidth="1"/>
    <col min="9" max="10" width="17" style="4" customWidth="1"/>
    <col min="11" max="11" width="22" style="4" customWidth="1"/>
    <col min="12" max="12" width="12.6640625" style="4" customWidth="1"/>
    <col min="13" max="13" width="16.44140625" style="4" customWidth="1"/>
    <col min="14" max="14" width="9" style="4"/>
    <col min="15" max="15" width="18" style="4" customWidth="1"/>
    <col min="16" max="16" width="17" style="4" customWidth="1"/>
    <col min="17" max="17" width="13" style="4" bestFit="1" customWidth="1"/>
    <col min="18" max="16384" width="9" style="4"/>
  </cols>
  <sheetData>
    <row r="1" spans="1:16" ht="29.4" x14ac:dyDescent="0.3">
      <c r="A1" s="222" t="s">
        <v>14</v>
      </c>
      <c r="B1" s="222"/>
      <c r="C1" s="222"/>
      <c r="D1" s="222"/>
      <c r="E1" s="222"/>
      <c r="F1" s="222"/>
      <c r="G1" s="222"/>
      <c r="H1" s="158"/>
    </row>
    <row r="2" spans="1:16" x14ac:dyDescent="0.3">
      <c r="B2" s="8"/>
      <c r="C2" s="8"/>
      <c r="D2" s="61"/>
      <c r="E2" s="38"/>
      <c r="F2" s="9"/>
      <c r="G2" s="10">
        <v>45799</v>
      </c>
      <c r="H2" s="10"/>
    </row>
    <row r="3" spans="1:16" x14ac:dyDescent="0.3">
      <c r="A3" s="11"/>
      <c r="B3" s="13"/>
      <c r="C3" s="14"/>
      <c r="D3" s="71"/>
      <c r="E3" s="16" t="s">
        <v>48</v>
      </c>
      <c r="F3" s="223"/>
      <c r="G3" s="224"/>
      <c r="H3" s="73"/>
    </row>
    <row r="4" spans="1:16" x14ac:dyDescent="0.3">
      <c r="A4" s="17"/>
      <c r="C4" s="7"/>
      <c r="D4" s="72"/>
      <c r="E4" s="19"/>
      <c r="F4" s="19"/>
      <c r="G4" s="20"/>
    </row>
    <row r="5" spans="1:16" x14ac:dyDescent="0.3">
      <c r="A5" s="17"/>
      <c r="C5" s="7"/>
      <c r="D5" s="72"/>
      <c r="E5" s="19" t="s">
        <v>21</v>
      </c>
      <c r="F5" s="73"/>
      <c r="G5" s="74"/>
      <c r="H5" s="73"/>
    </row>
    <row r="6" spans="1:16" x14ac:dyDescent="0.3">
      <c r="A6" s="17"/>
      <c r="C6" s="7"/>
      <c r="D6" s="72"/>
      <c r="E6" s="19" t="s">
        <v>22</v>
      </c>
      <c r="F6" s="73"/>
      <c r="G6" s="74"/>
      <c r="H6" s="73"/>
    </row>
    <row r="7" spans="1:16" x14ac:dyDescent="0.3">
      <c r="A7" s="17"/>
      <c r="C7" s="7"/>
      <c r="D7" s="72"/>
      <c r="E7" s="19" t="s">
        <v>23</v>
      </c>
      <c r="F7" s="73"/>
      <c r="G7" s="74"/>
      <c r="H7" s="73"/>
    </row>
    <row r="8" spans="1:16" x14ac:dyDescent="0.3">
      <c r="A8" s="21" t="s">
        <v>24</v>
      </c>
      <c r="C8" s="7"/>
      <c r="D8" s="72"/>
      <c r="E8" s="19"/>
      <c r="F8" s="73"/>
      <c r="G8" s="74"/>
      <c r="H8" s="73"/>
    </row>
    <row r="9" spans="1:16" x14ac:dyDescent="0.3">
      <c r="A9" s="21" t="s">
        <v>555</v>
      </c>
      <c r="C9" s="7"/>
      <c r="D9" s="72"/>
      <c r="E9" s="22" t="s">
        <v>25</v>
      </c>
      <c r="F9" s="73"/>
      <c r="G9" s="74"/>
      <c r="H9" s="73"/>
    </row>
    <row r="10" spans="1:16" ht="22.2" customHeight="1" x14ac:dyDescent="0.3">
      <c r="A10" s="23" t="s">
        <v>26</v>
      </c>
      <c r="B10" s="24"/>
      <c r="C10" s="25"/>
      <c r="D10" s="62"/>
      <c r="E10" s="27" t="s">
        <v>27</v>
      </c>
      <c r="F10" s="243"/>
      <c r="G10" s="244"/>
      <c r="H10" s="73"/>
    </row>
    <row r="11" spans="1:16" x14ac:dyDescent="0.3">
      <c r="A11" s="28" t="s">
        <v>28</v>
      </c>
      <c r="B11" s="28" t="s">
        <v>29</v>
      </c>
      <c r="C11" s="28" t="s">
        <v>30</v>
      </c>
      <c r="D11" s="63" t="s">
        <v>31</v>
      </c>
      <c r="E11" s="39" t="s">
        <v>32</v>
      </c>
      <c r="F11" s="29" t="s">
        <v>33</v>
      </c>
      <c r="G11" s="28" t="s">
        <v>76</v>
      </c>
      <c r="H11" s="7"/>
      <c r="I11" s="157" t="s">
        <v>443</v>
      </c>
      <c r="J11" s="157" t="s">
        <v>549</v>
      </c>
      <c r="K11" s="162" t="s">
        <v>444</v>
      </c>
      <c r="L11" s="162" t="s">
        <v>445</v>
      </c>
      <c r="M11" s="157" t="s">
        <v>540</v>
      </c>
      <c r="N11" s="161">
        <v>1.3</v>
      </c>
      <c r="O11" s="157" t="s">
        <v>463</v>
      </c>
      <c r="P11" s="157" t="s">
        <v>464</v>
      </c>
    </row>
    <row r="12" spans="1:16" x14ac:dyDescent="0.3">
      <c r="A12" s="40" t="s">
        <v>34</v>
      </c>
      <c r="B12" s="217" t="s">
        <v>35</v>
      </c>
      <c r="C12" s="218"/>
      <c r="D12" s="218"/>
      <c r="E12" s="218"/>
      <c r="F12" s="218"/>
      <c r="G12" s="219"/>
      <c r="H12" s="3"/>
      <c r="I12" s="28"/>
      <c r="J12" s="28"/>
      <c r="K12" s="28"/>
      <c r="L12" s="43"/>
      <c r="M12" s="43"/>
      <c r="N12" s="43"/>
      <c r="O12" s="43"/>
      <c r="P12" s="43"/>
    </row>
    <row r="13" spans="1:16" ht="51" customHeight="1" x14ac:dyDescent="0.3">
      <c r="A13" s="40">
        <v>1</v>
      </c>
      <c r="B13" s="41" t="s">
        <v>51</v>
      </c>
      <c r="C13" s="40" t="s">
        <v>78</v>
      </c>
      <c r="D13" s="64">
        <v>120</v>
      </c>
      <c r="E13" s="37">
        <v>150</v>
      </c>
      <c r="F13" s="42">
        <f>D13*E13</f>
        <v>18000</v>
      </c>
      <c r="G13" s="28" t="s">
        <v>79</v>
      </c>
      <c r="H13" s="7"/>
      <c r="I13" s="28"/>
      <c r="J13" s="28"/>
      <c r="K13" s="28"/>
      <c r="L13" s="43"/>
      <c r="M13" s="43"/>
      <c r="N13" s="43"/>
      <c r="O13" s="43"/>
      <c r="P13" s="43"/>
    </row>
    <row r="14" spans="1:16" ht="51" customHeight="1" x14ac:dyDescent="0.3">
      <c r="A14" s="40">
        <v>2</v>
      </c>
      <c r="B14" s="41" t="s">
        <v>52</v>
      </c>
      <c r="C14" s="40" t="s">
        <v>78</v>
      </c>
      <c r="D14" s="64">
        <v>60</v>
      </c>
      <c r="E14" s="37">
        <v>170</v>
      </c>
      <c r="F14" s="42">
        <f t="shared" ref="F14:F40" si="0">D14*E14</f>
        <v>10200</v>
      </c>
      <c r="G14" s="28" t="s">
        <v>80</v>
      </c>
      <c r="H14" s="7"/>
      <c r="I14" s="28"/>
      <c r="J14" s="28"/>
      <c r="K14" s="28"/>
      <c r="L14" s="43"/>
      <c r="M14" s="43"/>
      <c r="N14" s="43"/>
      <c r="O14" s="43"/>
      <c r="P14" s="43"/>
    </row>
    <row r="15" spans="1:16" ht="51" customHeight="1" x14ac:dyDescent="0.3">
      <c r="A15" s="40">
        <v>3</v>
      </c>
      <c r="B15" s="43" t="s">
        <v>111</v>
      </c>
      <c r="C15" s="40" t="s">
        <v>78</v>
      </c>
      <c r="D15" s="65">
        <v>400</v>
      </c>
      <c r="E15" s="34">
        <v>10</v>
      </c>
      <c r="F15" s="42">
        <f t="shared" si="0"/>
        <v>4000</v>
      </c>
      <c r="G15" s="28" t="s">
        <v>81</v>
      </c>
      <c r="H15" s="7"/>
      <c r="I15" s="28"/>
      <c r="J15" s="28"/>
      <c r="K15" s="28"/>
      <c r="L15" s="43"/>
      <c r="M15" s="43"/>
      <c r="N15" s="43"/>
      <c r="O15" s="43"/>
      <c r="P15" s="43"/>
    </row>
    <row r="16" spans="1:16" ht="51" customHeight="1" x14ac:dyDescent="0.3">
      <c r="A16" s="40">
        <v>4</v>
      </c>
      <c r="B16" s="44" t="s">
        <v>53</v>
      </c>
      <c r="C16" s="40" t="s">
        <v>78</v>
      </c>
      <c r="D16" s="64">
        <v>300</v>
      </c>
      <c r="E16" s="37">
        <v>90</v>
      </c>
      <c r="F16" s="42">
        <f t="shared" si="0"/>
        <v>27000</v>
      </c>
      <c r="G16" s="28" t="s">
        <v>82</v>
      </c>
      <c r="H16" s="7"/>
      <c r="I16" s="28"/>
      <c r="J16" s="28"/>
      <c r="K16" s="28"/>
      <c r="L16" s="43"/>
      <c r="M16" s="43"/>
      <c r="N16" s="43"/>
      <c r="O16" s="43"/>
      <c r="P16" s="43"/>
    </row>
    <row r="17" spans="1:16" ht="51" customHeight="1" x14ac:dyDescent="0.3">
      <c r="A17" s="40">
        <v>5</v>
      </c>
      <c r="B17" s="45" t="s">
        <v>112</v>
      </c>
      <c r="C17" s="40" t="s">
        <v>83</v>
      </c>
      <c r="D17" s="65">
        <v>1</v>
      </c>
      <c r="E17" s="34">
        <v>2200</v>
      </c>
      <c r="F17" s="42">
        <f>D17*E17</f>
        <v>2200</v>
      </c>
      <c r="G17" s="28" t="s">
        <v>84</v>
      </c>
      <c r="H17" s="7"/>
      <c r="I17" s="28"/>
      <c r="J17" s="28"/>
      <c r="K17" s="28"/>
      <c r="L17" s="43"/>
      <c r="M17" s="43"/>
      <c r="N17" s="43"/>
      <c r="O17" s="43"/>
      <c r="P17" s="43"/>
    </row>
    <row r="18" spans="1:16" ht="51" customHeight="1" x14ac:dyDescent="0.3">
      <c r="A18" s="40">
        <v>6</v>
      </c>
      <c r="B18" s="44" t="s">
        <v>54</v>
      </c>
      <c r="C18" s="40" t="s">
        <v>83</v>
      </c>
      <c r="D18" s="65">
        <v>1</v>
      </c>
      <c r="E18" s="34">
        <v>2201</v>
      </c>
      <c r="F18" s="42">
        <f t="shared" si="0"/>
        <v>2201</v>
      </c>
      <c r="G18" s="28" t="s">
        <v>85</v>
      </c>
      <c r="H18" s="7"/>
      <c r="I18" s="28"/>
      <c r="J18" s="28"/>
      <c r="K18" s="28"/>
      <c r="L18" s="43"/>
      <c r="M18" s="43"/>
      <c r="N18" s="43"/>
      <c r="O18" s="43"/>
      <c r="P18" s="43"/>
    </row>
    <row r="19" spans="1:16" ht="51" customHeight="1" x14ac:dyDescent="0.3">
      <c r="A19" s="40">
        <v>7</v>
      </c>
      <c r="B19" s="44" t="s">
        <v>55</v>
      </c>
      <c r="C19" s="40" t="s">
        <v>78</v>
      </c>
      <c r="D19" s="65">
        <v>400</v>
      </c>
      <c r="E19" s="34">
        <v>50</v>
      </c>
      <c r="F19" s="42">
        <f t="shared" si="0"/>
        <v>20000</v>
      </c>
      <c r="G19" s="28" t="s">
        <v>86</v>
      </c>
      <c r="H19" s="7"/>
      <c r="I19" s="28"/>
      <c r="J19" s="28"/>
      <c r="K19" s="28"/>
      <c r="L19" s="43"/>
      <c r="M19" s="43"/>
      <c r="N19" s="43"/>
      <c r="O19" s="43"/>
      <c r="P19" s="43"/>
    </row>
    <row r="20" spans="1:16" ht="51" customHeight="1" x14ac:dyDescent="0.3">
      <c r="A20" s="40">
        <v>8</v>
      </c>
      <c r="B20" s="45" t="s">
        <v>113</v>
      </c>
      <c r="C20" s="40" t="s">
        <v>87</v>
      </c>
      <c r="D20" s="65">
        <v>4</v>
      </c>
      <c r="E20" s="34">
        <v>211</v>
      </c>
      <c r="F20" s="42">
        <f>D20*E20</f>
        <v>844</v>
      </c>
      <c r="G20" s="28" t="s">
        <v>88</v>
      </c>
      <c r="H20" s="7"/>
      <c r="I20" s="28"/>
      <c r="J20" s="28"/>
      <c r="K20" s="28"/>
      <c r="L20" s="43"/>
      <c r="M20" s="43"/>
      <c r="N20" s="43"/>
      <c r="O20" s="43"/>
      <c r="P20" s="43"/>
    </row>
    <row r="21" spans="1:16" ht="51" customHeight="1" x14ac:dyDescent="0.3">
      <c r="A21" s="40">
        <v>9</v>
      </c>
      <c r="B21" s="44" t="s">
        <v>56</v>
      </c>
      <c r="C21" s="40" t="s">
        <v>83</v>
      </c>
      <c r="D21" s="65">
        <v>10</v>
      </c>
      <c r="E21" s="34">
        <v>2000</v>
      </c>
      <c r="F21" s="42">
        <f t="shared" si="0"/>
        <v>20000</v>
      </c>
      <c r="G21" s="28" t="s">
        <v>89</v>
      </c>
      <c r="H21" s="7"/>
      <c r="I21" s="28"/>
      <c r="J21" s="28"/>
      <c r="K21" s="28"/>
      <c r="L21" s="43"/>
      <c r="M21" s="43"/>
      <c r="N21" s="43"/>
      <c r="O21" s="43"/>
      <c r="P21" s="43"/>
    </row>
    <row r="22" spans="1:16" ht="51" customHeight="1" x14ac:dyDescent="0.3">
      <c r="A22" s="40">
        <v>10</v>
      </c>
      <c r="B22" s="44" t="s">
        <v>114</v>
      </c>
      <c r="C22" s="40" t="s">
        <v>83</v>
      </c>
      <c r="D22" s="65">
        <v>15</v>
      </c>
      <c r="E22" s="34">
        <v>2400</v>
      </c>
      <c r="F22" s="42">
        <f t="shared" si="0"/>
        <v>36000</v>
      </c>
      <c r="G22" s="28" t="s">
        <v>90</v>
      </c>
      <c r="H22" s="7"/>
      <c r="I22" s="28"/>
      <c r="J22" s="28"/>
      <c r="K22" s="28"/>
      <c r="L22" s="43"/>
      <c r="M22" s="43"/>
      <c r="N22" s="43"/>
      <c r="O22" s="43"/>
      <c r="P22" s="43"/>
    </row>
    <row r="23" spans="1:16" ht="51" customHeight="1" x14ac:dyDescent="0.3">
      <c r="A23" s="40">
        <v>11</v>
      </c>
      <c r="B23" s="44" t="s">
        <v>57</v>
      </c>
      <c r="C23" s="40" t="s">
        <v>78</v>
      </c>
      <c r="D23" s="65">
        <v>200</v>
      </c>
      <c r="E23" s="34">
        <v>380</v>
      </c>
      <c r="F23" s="42">
        <f t="shared" si="0"/>
        <v>76000</v>
      </c>
      <c r="G23" s="28" t="s">
        <v>91</v>
      </c>
      <c r="H23" s="7"/>
      <c r="I23" s="28"/>
      <c r="J23" s="28"/>
      <c r="K23" s="28"/>
      <c r="L23" s="43"/>
      <c r="M23" s="43"/>
      <c r="N23" s="43"/>
      <c r="O23" s="43"/>
      <c r="P23" s="43"/>
    </row>
    <row r="24" spans="1:16" ht="51" customHeight="1" x14ac:dyDescent="0.3">
      <c r="A24" s="40">
        <v>12</v>
      </c>
      <c r="B24" s="44" t="s">
        <v>58</v>
      </c>
      <c r="C24" s="40" t="s">
        <v>78</v>
      </c>
      <c r="D24" s="65">
        <v>400</v>
      </c>
      <c r="E24" s="34">
        <v>150</v>
      </c>
      <c r="F24" s="42">
        <f t="shared" si="0"/>
        <v>60000</v>
      </c>
      <c r="G24" s="28" t="s">
        <v>92</v>
      </c>
      <c r="H24" s="7"/>
      <c r="I24" s="28"/>
      <c r="J24" s="28"/>
      <c r="K24" s="28"/>
      <c r="L24" s="43"/>
      <c r="M24" s="43"/>
      <c r="N24" s="43"/>
      <c r="O24" s="43"/>
      <c r="P24" s="43"/>
    </row>
    <row r="25" spans="1:16" ht="51" customHeight="1" x14ac:dyDescent="0.3">
      <c r="A25" s="40">
        <v>13</v>
      </c>
      <c r="B25" s="31" t="s">
        <v>59</v>
      </c>
      <c r="C25" s="40" t="s">
        <v>78</v>
      </c>
      <c r="D25" s="65">
        <v>105</v>
      </c>
      <c r="E25" s="34">
        <v>90</v>
      </c>
      <c r="F25" s="42">
        <f t="shared" si="0"/>
        <v>9450</v>
      </c>
      <c r="G25" s="28" t="s">
        <v>93</v>
      </c>
      <c r="H25" s="7"/>
      <c r="I25" s="28"/>
      <c r="J25" s="28"/>
      <c r="K25" s="28"/>
      <c r="L25" s="43"/>
      <c r="M25" s="43"/>
      <c r="N25" s="43"/>
      <c r="O25" s="43"/>
      <c r="P25" s="43"/>
    </row>
    <row r="26" spans="1:16" ht="51" customHeight="1" x14ac:dyDescent="0.3">
      <c r="A26" s="40">
        <v>14</v>
      </c>
      <c r="B26" s="36" t="s">
        <v>20</v>
      </c>
      <c r="C26" s="40" t="s">
        <v>15</v>
      </c>
      <c r="D26" s="64">
        <v>20</v>
      </c>
      <c r="E26" s="37">
        <v>800</v>
      </c>
      <c r="F26" s="42">
        <f t="shared" si="0"/>
        <v>16000</v>
      </c>
      <c r="G26" s="28" t="s">
        <v>94</v>
      </c>
      <c r="H26" s="7"/>
      <c r="I26" s="28"/>
      <c r="J26" s="28"/>
      <c r="K26" s="28"/>
      <c r="L26" s="43"/>
      <c r="M26" s="43"/>
      <c r="N26" s="43"/>
      <c r="O26" s="43"/>
      <c r="P26" s="43"/>
    </row>
    <row r="27" spans="1:16" ht="51" customHeight="1" x14ac:dyDescent="0.3">
      <c r="A27" s="40">
        <v>15</v>
      </c>
      <c r="B27" s="45" t="s">
        <v>36</v>
      </c>
      <c r="C27" s="40" t="s">
        <v>78</v>
      </c>
      <c r="D27" s="65">
        <v>10</v>
      </c>
      <c r="E27" s="34">
        <v>120</v>
      </c>
      <c r="F27" s="42">
        <f t="shared" si="0"/>
        <v>1200</v>
      </c>
      <c r="G27" s="28" t="s">
        <v>95</v>
      </c>
      <c r="H27" s="7"/>
      <c r="I27" s="28"/>
      <c r="J27" s="28"/>
      <c r="K27" s="28"/>
      <c r="L27" s="43"/>
      <c r="M27" s="43"/>
      <c r="N27" s="43"/>
      <c r="O27" s="43"/>
      <c r="P27" s="43"/>
    </row>
    <row r="28" spans="1:16" ht="51" customHeight="1" x14ac:dyDescent="0.3">
      <c r="A28" s="40">
        <v>16</v>
      </c>
      <c r="B28" s="45" t="s">
        <v>37</v>
      </c>
      <c r="C28" s="40" t="s">
        <v>78</v>
      </c>
      <c r="D28" s="65">
        <v>10</v>
      </c>
      <c r="E28" s="34">
        <v>100</v>
      </c>
      <c r="F28" s="42">
        <f t="shared" si="0"/>
        <v>1000</v>
      </c>
      <c r="G28" s="28" t="s">
        <v>96</v>
      </c>
      <c r="H28" s="7"/>
      <c r="I28" s="28"/>
      <c r="J28" s="28"/>
      <c r="K28" s="28"/>
      <c r="L28" s="43"/>
      <c r="M28" s="43"/>
      <c r="N28" s="43"/>
      <c r="O28" s="43"/>
      <c r="P28" s="43"/>
    </row>
    <row r="29" spans="1:16" ht="51" customHeight="1" x14ac:dyDescent="0.3">
      <c r="A29" s="40">
        <v>17</v>
      </c>
      <c r="B29" s="45" t="s">
        <v>38</v>
      </c>
      <c r="C29" s="40" t="s">
        <v>78</v>
      </c>
      <c r="D29" s="64">
        <v>10</v>
      </c>
      <c r="E29" s="37">
        <v>180</v>
      </c>
      <c r="F29" s="42">
        <f t="shared" si="0"/>
        <v>1800</v>
      </c>
      <c r="G29" s="28" t="s">
        <v>97</v>
      </c>
      <c r="H29" s="7"/>
      <c r="I29" s="28"/>
      <c r="J29" s="28"/>
      <c r="K29" s="28"/>
      <c r="L29" s="43"/>
      <c r="M29" s="43"/>
      <c r="N29" s="43"/>
      <c r="O29" s="43"/>
      <c r="P29" s="43"/>
    </row>
    <row r="30" spans="1:16" ht="51" customHeight="1" x14ac:dyDescent="0.3">
      <c r="A30" s="40">
        <v>18</v>
      </c>
      <c r="B30" s="45" t="s">
        <v>60</v>
      </c>
      <c r="C30" s="40" t="s">
        <v>78</v>
      </c>
      <c r="D30" s="64">
        <v>10</v>
      </c>
      <c r="E30" s="37">
        <v>130</v>
      </c>
      <c r="F30" s="42">
        <f t="shared" si="0"/>
        <v>1300</v>
      </c>
      <c r="G30" s="28" t="s">
        <v>98</v>
      </c>
      <c r="H30" s="7"/>
      <c r="I30" s="28"/>
      <c r="J30" s="28"/>
      <c r="K30" s="28"/>
      <c r="L30" s="43"/>
      <c r="M30" s="43"/>
      <c r="N30" s="43"/>
      <c r="O30" s="43"/>
      <c r="P30" s="43"/>
    </row>
    <row r="31" spans="1:16" ht="51" customHeight="1" x14ac:dyDescent="0.3">
      <c r="A31" s="40">
        <v>19</v>
      </c>
      <c r="B31" s="45" t="s">
        <v>61</v>
      </c>
      <c r="C31" s="40" t="s">
        <v>78</v>
      </c>
      <c r="D31" s="66">
        <v>10</v>
      </c>
      <c r="E31" s="46">
        <v>130</v>
      </c>
      <c r="F31" s="42">
        <f t="shared" si="0"/>
        <v>1300</v>
      </c>
      <c r="G31" s="28" t="s">
        <v>99</v>
      </c>
      <c r="H31" s="7"/>
      <c r="I31" s="28"/>
      <c r="J31" s="28"/>
      <c r="K31" s="28"/>
      <c r="L31" s="43"/>
      <c r="M31" s="43"/>
      <c r="N31" s="43"/>
      <c r="O31" s="43"/>
      <c r="P31" s="43"/>
    </row>
    <row r="32" spans="1:16" ht="51" customHeight="1" x14ac:dyDescent="0.3">
      <c r="A32" s="40">
        <v>20</v>
      </c>
      <c r="B32" s="45" t="s">
        <v>115</v>
      </c>
      <c r="C32" s="40" t="s">
        <v>78</v>
      </c>
      <c r="D32" s="65">
        <v>10</v>
      </c>
      <c r="E32" s="34">
        <v>450</v>
      </c>
      <c r="F32" s="42">
        <f t="shared" si="0"/>
        <v>4500</v>
      </c>
      <c r="G32" s="40" t="s">
        <v>100</v>
      </c>
      <c r="H32" s="7"/>
      <c r="I32" s="28"/>
      <c r="J32" s="28"/>
      <c r="K32" s="28"/>
      <c r="L32" s="43"/>
      <c r="M32" s="43"/>
      <c r="N32" s="43"/>
      <c r="O32" s="43"/>
      <c r="P32" s="43"/>
    </row>
    <row r="33" spans="1:16" ht="51" customHeight="1" x14ac:dyDescent="0.3">
      <c r="A33" s="40">
        <v>21</v>
      </c>
      <c r="B33" s="44" t="s">
        <v>62</v>
      </c>
      <c r="C33" s="40" t="s">
        <v>101</v>
      </c>
      <c r="D33" s="65">
        <v>50</v>
      </c>
      <c r="E33" s="34">
        <v>450</v>
      </c>
      <c r="F33" s="42">
        <f t="shared" si="0"/>
        <v>22500</v>
      </c>
      <c r="G33" s="40" t="s">
        <v>102</v>
      </c>
      <c r="H33" s="7"/>
      <c r="I33" s="28"/>
      <c r="J33" s="28"/>
      <c r="K33" s="28"/>
      <c r="L33" s="43"/>
      <c r="M33" s="43"/>
      <c r="N33" s="43"/>
      <c r="O33" s="43"/>
      <c r="P33" s="43"/>
    </row>
    <row r="34" spans="1:16" ht="51" customHeight="1" x14ac:dyDescent="0.3">
      <c r="A34" s="40">
        <v>22</v>
      </c>
      <c r="B34" s="44" t="s">
        <v>63</v>
      </c>
      <c r="C34" s="40" t="s">
        <v>101</v>
      </c>
      <c r="D34" s="65">
        <v>100</v>
      </c>
      <c r="E34" s="34">
        <v>250</v>
      </c>
      <c r="F34" s="42">
        <f t="shared" si="0"/>
        <v>25000</v>
      </c>
      <c r="G34" s="40" t="s">
        <v>103</v>
      </c>
      <c r="H34" s="7"/>
      <c r="I34" s="28"/>
      <c r="J34" s="28"/>
      <c r="K34" s="28"/>
      <c r="L34" s="43"/>
      <c r="M34" s="43"/>
      <c r="N34" s="43"/>
      <c r="O34" s="43"/>
      <c r="P34" s="43"/>
    </row>
    <row r="35" spans="1:16" ht="51" customHeight="1" x14ac:dyDescent="0.3">
      <c r="A35" s="40">
        <v>23</v>
      </c>
      <c r="B35" s="44" t="s">
        <v>64</v>
      </c>
      <c r="C35" s="40" t="s">
        <v>78</v>
      </c>
      <c r="D35" s="65">
        <v>400</v>
      </c>
      <c r="E35" s="34">
        <v>300</v>
      </c>
      <c r="F35" s="42">
        <f>D35*E35</f>
        <v>120000</v>
      </c>
      <c r="G35" s="40" t="s">
        <v>104</v>
      </c>
      <c r="H35" s="7"/>
      <c r="I35" s="28"/>
      <c r="J35" s="28"/>
      <c r="K35" s="28"/>
      <c r="L35" s="43"/>
      <c r="M35" s="43"/>
      <c r="N35" s="43"/>
      <c r="O35" s="43"/>
      <c r="P35" s="43"/>
    </row>
    <row r="36" spans="1:16" ht="51" customHeight="1" x14ac:dyDescent="0.3">
      <c r="A36" s="40">
        <v>24</v>
      </c>
      <c r="B36" s="44" t="s">
        <v>116</v>
      </c>
      <c r="C36" s="40" t="s">
        <v>78</v>
      </c>
      <c r="D36" s="65">
        <v>200</v>
      </c>
      <c r="E36" s="34">
        <v>100</v>
      </c>
      <c r="F36" s="42">
        <f t="shared" si="0"/>
        <v>20000</v>
      </c>
      <c r="G36" s="40" t="s">
        <v>105</v>
      </c>
      <c r="H36" s="7"/>
      <c r="I36" s="28"/>
      <c r="J36" s="28"/>
      <c r="K36" s="28"/>
      <c r="L36" s="43"/>
      <c r="M36" s="43"/>
      <c r="N36" s="43"/>
      <c r="O36" s="43"/>
      <c r="P36" s="43"/>
    </row>
    <row r="37" spans="1:16" ht="51" customHeight="1" x14ac:dyDescent="0.3">
      <c r="A37" s="40">
        <v>25</v>
      </c>
      <c r="B37" s="44" t="s">
        <v>117</v>
      </c>
      <c r="C37" s="40" t="s">
        <v>78</v>
      </c>
      <c r="D37" s="65">
        <v>15</v>
      </c>
      <c r="E37" s="34">
        <v>600</v>
      </c>
      <c r="F37" s="42">
        <f t="shared" si="0"/>
        <v>9000</v>
      </c>
      <c r="G37" s="40" t="s">
        <v>106</v>
      </c>
      <c r="H37" s="7"/>
      <c r="I37" s="28"/>
      <c r="J37" s="28"/>
      <c r="K37" s="28"/>
      <c r="L37" s="43"/>
      <c r="M37" s="43"/>
      <c r="N37" s="43"/>
      <c r="O37" s="43"/>
      <c r="P37" s="43"/>
    </row>
    <row r="38" spans="1:16" ht="51" customHeight="1" x14ac:dyDescent="0.3">
      <c r="A38" s="40">
        <v>26</v>
      </c>
      <c r="B38" s="44" t="s">
        <v>118</v>
      </c>
      <c r="C38" s="40" t="s">
        <v>78</v>
      </c>
      <c r="D38" s="65">
        <v>400</v>
      </c>
      <c r="E38" s="34">
        <v>450</v>
      </c>
      <c r="F38" s="42">
        <f t="shared" si="0"/>
        <v>180000</v>
      </c>
      <c r="G38" s="40" t="s">
        <v>107</v>
      </c>
      <c r="H38" s="7"/>
      <c r="I38" s="28"/>
      <c r="J38" s="28"/>
      <c r="K38" s="28"/>
      <c r="L38" s="43"/>
      <c r="M38" s="43"/>
      <c r="N38" s="43"/>
      <c r="O38" s="43"/>
      <c r="P38" s="43"/>
    </row>
    <row r="39" spans="1:16" ht="51" customHeight="1" x14ac:dyDescent="0.3">
      <c r="A39" s="40">
        <v>27</v>
      </c>
      <c r="B39" s="44" t="s">
        <v>119</v>
      </c>
      <c r="C39" s="40" t="s">
        <v>78</v>
      </c>
      <c r="D39" s="65">
        <v>50</v>
      </c>
      <c r="E39" s="34">
        <v>300</v>
      </c>
      <c r="F39" s="42">
        <f t="shared" si="0"/>
        <v>15000</v>
      </c>
      <c r="G39" s="40" t="s">
        <v>108</v>
      </c>
      <c r="H39" s="7"/>
      <c r="I39" s="28"/>
      <c r="J39" s="28"/>
      <c r="K39" s="28"/>
      <c r="L39" s="43"/>
      <c r="M39" s="43"/>
      <c r="N39" s="43"/>
      <c r="O39" s="43"/>
      <c r="P39" s="43"/>
    </row>
    <row r="40" spans="1:16" ht="51" customHeight="1" x14ac:dyDescent="0.3">
      <c r="A40" s="40">
        <v>28</v>
      </c>
      <c r="B40" s="44" t="s">
        <v>120</v>
      </c>
      <c r="C40" s="40" t="s">
        <v>78</v>
      </c>
      <c r="D40" s="65">
        <v>50</v>
      </c>
      <c r="E40" s="34">
        <v>320</v>
      </c>
      <c r="F40" s="42">
        <f t="shared" si="0"/>
        <v>16000</v>
      </c>
      <c r="G40" s="40" t="s">
        <v>109</v>
      </c>
      <c r="H40" s="7"/>
      <c r="I40" s="28"/>
      <c r="J40" s="28"/>
      <c r="K40" s="28"/>
      <c r="L40" s="43"/>
      <c r="M40" s="43"/>
      <c r="N40" s="43"/>
      <c r="O40" s="43"/>
      <c r="P40" s="43"/>
    </row>
    <row r="41" spans="1:16" ht="51" customHeight="1" x14ac:dyDescent="0.3">
      <c r="A41" s="40">
        <v>29</v>
      </c>
      <c r="B41" s="44" t="s">
        <v>121</v>
      </c>
      <c r="C41" s="40" t="s">
        <v>78</v>
      </c>
      <c r="D41" s="65">
        <v>160</v>
      </c>
      <c r="E41" s="34">
        <v>335</v>
      </c>
      <c r="F41" s="42">
        <f>D41*E41</f>
        <v>53600</v>
      </c>
      <c r="G41" s="40" t="s">
        <v>110</v>
      </c>
      <c r="H41" s="7"/>
      <c r="I41" s="28"/>
      <c r="J41" s="28"/>
      <c r="K41" s="28"/>
      <c r="L41" s="43"/>
      <c r="M41" s="43"/>
      <c r="N41" s="43"/>
      <c r="O41" s="43"/>
      <c r="P41" s="43"/>
    </row>
    <row r="42" spans="1:16" ht="51" customHeight="1" x14ac:dyDescent="0.3">
      <c r="A42" s="40"/>
      <c r="B42" s="48" t="s">
        <v>39</v>
      </c>
      <c r="C42" s="28"/>
      <c r="D42" s="67"/>
      <c r="E42" s="49"/>
      <c r="F42" s="50">
        <f>SUM(F13:F40)</f>
        <v>720495</v>
      </c>
      <c r="G42" s="43"/>
      <c r="I42" s="28"/>
      <c r="J42" s="28"/>
      <c r="K42" s="28"/>
      <c r="L42" s="43"/>
      <c r="M42" s="43"/>
      <c r="N42" s="43"/>
      <c r="O42" s="43"/>
      <c r="P42" s="43"/>
    </row>
    <row r="43" spans="1:16" ht="51" customHeight="1" x14ac:dyDescent="0.3">
      <c r="A43" s="40"/>
      <c r="B43" s="48" t="s">
        <v>40</v>
      </c>
      <c r="C43" s="70">
        <v>0.15</v>
      </c>
      <c r="D43" s="68"/>
      <c r="E43" s="49"/>
      <c r="F43" s="50">
        <f>F42*C43</f>
        <v>108074.25</v>
      </c>
      <c r="G43" s="43"/>
      <c r="I43" s="28"/>
      <c r="J43" s="28"/>
      <c r="K43" s="28"/>
      <c r="L43" s="43"/>
      <c r="M43" s="43"/>
      <c r="N43" s="43"/>
      <c r="O43" s="43"/>
      <c r="P43" s="43"/>
    </row>
    <row r="44" spans="1:16" ht="51" customHeight="1" x14ac:dyDescent="0.3">
      <c r="A44" s="40"/>
      <c r="B44" s="48" t="s">
        <v>41</v>
      </c>
      <c r="C44" s="28"/>
      <c r="D44" s="68"/>
      <c r="E44" s="49"/>
      <c r="F44" s="50">
        <f>SUM(F42:F43)</f>
        <v>828569.25</v>
      </c>
      <c r="G44" s="43"/>
      <c r="I44" s="28"/>
      <c r="J44" s="28"/>
      <c r="K44" s="28"/>
      <c r="L44" s="43"/>
      <c r="M44" s="43"/>
      <c r="N44" s="43"/>
      <c r="O44" s="43"/>
      <c r="P44" s="43"/>
    </row>
    <row r="45" spans="1:16" ht="51" customHeight="1" x14ac:dyDescent="0.3">
      <c r="A45" s="40"/>
      <c r="B45" s="43"/>
      <c r="C45" s="43"/>
      <c r="D45" s="66"/>
      <c r="E45" s="47"/>
      <c r="F45" s="42"/>
      <c r="G45" s="43"/>
      <c r="I45" s="28"/>
      <c r="J45" s="28"/>
      <c r="K45" s="28"/>
      <c r="L45" s="43"/>
      <c r="M45" s="43"/>
      <c r="N45" s="43"/>
      <c r="O45" s="43"/>
      <c r="P45" s="43"/>
    </row>
    <row r="46" spans="1:16" ht="51" customHeight="1" x14ac:dyDescent="0.3">
      <c r="A46" s="40" t="s">
        <v>77</v>
      </c>
      <c r="B46" s="217" t="s">
        <v>42</v>
      </c>
      <c r="C46" s="218"/>
      <c r="D46" s="218"/>
      <c r="E46" s="218"/>
      <c r="F46" s="218"/>
      <c r="G46" s="219"/>
      <c r="H46" s="3"/>
      <c r="I46" s="28"/>
      <c r="J46" s="28"/>
      <c r="K46" s="28"/>
      <c r="L46" s="43"/>
      <c r="M46" s="43"/>
      <c r="N46" s="43"/>
      <c r="O46" s="43"/>
      <c r="P46" s="43"/>
    </row>
    <row r="47" spans="1:16" ht="51" customHeight="1" x14ac:dyDescent="0.3">
      <c r="A47" s="40">
        <v>1</v>
      </c>
      <c r="B47" s="31" t="s">
        <v>65</v>
      </c>
      <c r="C47" s="32" t="s">
        <v>1</v>
      </c>
      <c r="D47" s="65">
        <v>2</v>
      </c>
      <c r="E47" s="34">
        <v>2000</v>
      </c>
      <c r="F47" s="35">
        <f>D47*E47</f>
        <v>4000</v>
      </c>
      <c r="G47" s="28" t="s">
        <v>122</v>
      </c>
      <c r="H47" s="7"/>
      <c r="I47" s="28"/>
      <c r="J47" s="28"/>
      <c r="K47" s="28"/>
      <c r="L47" s="43"/>
      <c r="M47" s="43"/>
      <c r="N47" s="43"/>
      <c r="O47" s="43"/>
      <c r="P47" s="43"/>
    </row>
    <row r="48" spans="1:16" ht="51" customHeight="1" x14ac:dyDescent="0.3">
      <c r="A48" s="40">
        <v>2</v>
      </c>
      <c r="B48" s="36" t="s">
        <v>66</v>
      </c>
      <c r="C48" s="32" t="s">
        <v>1</v>
      </c>
      <c r="D48" s="65">
        <v>25</v>
      </c>
      <c r="E48" s="37">
        <v>430</v>
      </c>
      <c r="F48" s="35">
        <f t="shared" ref="F48:F97" si="1">D48*E48</f>
        <v>10750</v>
      </c>
      <c r="G48" s="28" t="s">
        <v>123</v>
      </c>
      <c r="H48" s="7"/>
      <c r="I48" s="28"/>
      <c r="J48" s="28"/>
      <c r="K48" s="43"/>
      <c r="L48" s="43"/>
      <c r="M48" s="43"/>
      <c r="N48" s="43"/>
      <c r="O48" s="43"/>
      <c r="P48" s="43"/>
    </row>
    <row r="49" spans="1:17" ht="51" customHeight="1" x14ac:dyDescent="0.3">
      <c r="A49" s="40">
        <v>3</v>
      </c>
      <c r="B49" s="79" t="s">
        <v>124</v>
      </c>
      <c r="C49" s="28" t="s">
        <v>8</v>
      </c>
      <c r="D49" s="65">
        <v>2</v>
      </c>
      <c r="E49" s="34">
        <v>10000</v>
      </c>
      <c r="F49" s="35">
        <f t="shared" si="1"/>
        <v>20000</v>
      </c>
      <c r="G49" s="28" t="s">
        <v>125</v>
      </c>
      <c r="H49" s="7"/>
      <c r="I49" s="28"/>
      <c r="J49" s="28"/>
      <c r="K49" s="43"/>
      <c r="L49" s="43"/>
      <c r="M49" s="43"/>
      <c r="N49" s="43"/>
      <c r="O49" s="43"/>
      <c r="P49" s="43"/>
    </row>
    <row r="50" spans="1:17" ht="51" customHeight="1" x14ac:dyDescent="0.3">
      <c r="A50" s="40">
        <v>4</v>
      </c>
      <c r="B50" s="53" t="s">
        <v>182</v>
      </c>
      <c r="C50" s="40" t="s">
        <v>2</v>
      </c>
      <c r="D50" s="65">
        <v>10</v>
      </c>
      <c r="E50" s="34">
        <v>200</v>
      </c>
      <c r="F50" s="35">
        <f t="shared" si="1"/>
        <v>2000</v>
      </c>
      <c r="G50" s="28" t="s">
        <v>126</v>
      </c>
      <c r="H50" s="7"/>
      <c r="I50" s="28"/>
      <c r="J50" s="28"/>
      <c r="K50" s="43"/>
      <c r="L50" s="43"/>
      <c r="M50" s="43"/>
      <c r="N50" s="43"/>
      <c r="O50" s="43"/>
      <c r="P50" s="43"/>
    </row>
    <row r="51" spans="1:17" ht="51" customHeight="1" x14ac:dyDescent="0.3">
      <c r="A51" s="40">
        <v>5</v>
      </c>
      <c r="B51" s="51" t="s">
        <v>183</v>
      </c>
      <c r="C51" s="40" t="s">
        <v>6</v>
      </c>
      <c r="D51" s="65">
        <v>10</v>
      </c>
      <c r="E51" s="34">
        <v>250</v>
      </c>
      <c r="F51" s="35">
        <f t="shared" si="1"/>
        <v>2500</v>
      </c>
      <c r="G51" s="28" t="s">
        <v>127</v>
      </c>
      <c r="H51" s="7"/>
      <c r="I51" s="28"/>
      <c r="J51" s="28"/>
      <c r="K51" s="28"/>
      <c r="L51" s="43"/>
      <c r="M51" s="43"/>
      <c r="N51" s="43"/>
      <c r="O51" s="43"/>
      <c r="P51" s="43"/>
    </row>
    <row r="52" spans="1:17" ht="51" customHeight="1" x14ac:dyDescent="0.3">
      <c r="A52" s="40">
        <v>6</v>
      </c>
      <c r="B52" s="36" t="s">
        <v>184</v>
      </c>
      <c r="C52" s="40" t="s">
        <v>7</v>
      </c>
      <c r="D52" s="65">
        <v>10</v>
      </c>
      <c r="E52" s="34">
        <v>1250</v>
      </c>
      <c r="F52" s="35">
        <f t="shared" si="1"/>
        <v>12500</v>
      </c>
      <c r="G52" s="28" t="s">
        <v>128</v>
      </c>
      <c r="H52" s="7"/>
      <c r="I52" s="28"/>
      <c r="J52" s="28"/>
      <c r="K52" s="28"/>
      <c r="L52" s="43"/>
      <c r="M52" s="43"/>
      <c r="N52" s="43"/>
      <c r="O52" s="43"/>
      <c r="P52" s="43"/>
    </row>
    <row r="53" spans="1:17" ht="51" customHeight="1" x14ac:dyDescent="0.3">
      <c r="A53" s="40">
        <v>7</v>
      </c>
      <c r="B53" s="53" t="s">
        <v>185</v>
      </c>
      <c r="C53" s="40" t="s">
        <v>3</v>
      </c>
      <c r="D53" s="65">
        <v>100</v>
      </c>
      <c r="E53" s="34">
        <v>290</v>
      </c>
      <c r="F53" s="35">
        <f t="shared" si="1"/>
        <v>29000</v>
      </c>
      <c r="G53" s="28" t="s">
        <v>129</v>
      </c>
      <c r="H53" s="7"/>
      <c r="I53" s="28"/>
      <c r="J53" s="28"/>
      <c r="K53" s="28"/>
      <c r="L53" s="43"/>
      <c r="M53" s="43"/>
      <c r="N53" s="43"/>
      <c r="O53" s="43"/>
      <c r="P53" s="43"/>
    </row>
    <row r="54" spans="1:17" ht="51" customHeight="1" x14ac:dyDescent="0.3">
      <c r="A54" s="40">
        <v>8</v>
      </c>
      <c r="B54" s="52" t="s">
        <v>186</v>
      </c>
      <c r="C54" s="40" t="s">
        <v>6</v>
      </c>
      <c r="D54" s="65">
        <v>200</v>
      </c>
      <c r="E54" s="34">
        <v>290</v>
      </c>
      <c r="F54" s="35">
        <f>D54*E54</f>
        <v>58000</v>
      </c>
      <c r="G54" s="28" t="s">
        <v>130</v>
      </c>
      <c r="H54" s="7"/>
      <c r="I54" s="28"/>
      <c r="J54" s="28"/>
      <c r="K54" s="28"/>
      <c r="L54" s="43"/>
      <c r="M54" s="43"/>
      <c r="N54" s="43"/>
      <c r="O54" s="43"/>
      <c r="P54" s="43"/>
    </row>
    <row r="55" spans="1:17" ht="51" customHeight="1" x14ac:dyDescent="0.3">
      <c r="A55" s="40">
        <v>9</v>
      </c>
      <c r="B55" s="52" t="s">
        <v>187</v>
      </c>
      <c r="C55" s="40" t="s">
        <v>7</v>
      </c>
      <c r="D55" s="65">
        <v>50</v>
      </c>
      <c r="E55" s="34">
        <v>2000</v>
      </c>
      <c r="F55" s="35">
        <f t="shared" si="1"/>
        <v>100000</v>
      </c>
      <c r="G55" s="28" t="s">
        <v>131</v>
      </c>
      <c r="H55" s="7"/>
      <c r="I55" s="28"/>
      <c r="J55" s="28"/>
      <c r="K55" s="28"/>
      <c r="L55" s="43"/>
      <c r="M55" s="43"/>
      <c r="N55" s="43"/>
      <c r="O55" s="43"/>
      <c r="P55" s="43"/>
    </row>
    <row r="56" spans="1:17" ht="51" customHeight="1" x14ac:dyDescent="0.3">
      <c r="A56" s="40">
        <v>10</v>
      </c>
      <c r="B56" s="52" t="s">
        <v>188</v>
      </c>
      <c r="C56" s="40" t="s">
        <v>13</v>
      </c>
      <c r="D56" s="65">
        <v>50</v>
      </c>
      <c r="E56" s="34">
        <v>350</v>
      </c>
      <c r="F56" s="35">
        <f t="shared" si="1"/>
        <v>17500</v>
      </c>
      <c r="G56" s="28" t="s">
        <v>132</v>
      </c>
      <c r="H56" s="7"/>
      <c r="I56" s="28"/>
      <c r="J56" s="28"/>
      <c r="K56" s="28"/>
      <c r="L56" s="43"/>
      <c r="M56" s="43"/>
      <c r="N56" s="43"/>
      <c r="O56" s="43"/>
      <c r="P56" s="43"/>
    </row>
    <row r="57" spans="1:17" ht="51" customHeight="1" x14ac:dyDescent="0.3">
      <c r="A57" s="40">
        <v>11</v>
      </c>
      <c r="B57" s="79" t="s">
        <v>189</v>
      </c>
      <c r="C57" s="40" t="s">
        <v>6</v>
      </c>
      <c r="D57" s="65">
        <v>200</v>
      </c>
      <c r="E57" s="34">
        <v>140</v>
      </c>
      <c r="F57" s="35">
        <f t="shared" si="1"/>
        <v>28000</v>
      </c>
      <c r="G57" s="28" t="s">
        <v>133</v>
      </c>
      <c r="H57" s="7"/>
      <c r="I57" s="28"/>
      <c r="J57" s="28"/>
      <c r="K57" s="28"/>
      <c r="L57" s="43"/>
      <c r="M57" s="43"/>
      <c r="N57" s="43"/>
      <c r="O57" s="43"/>
      <c r="P57" s="43"/>
    </row>
    <row r="58" spans="1:17" ht="51" customHeight="1" x14ac:dyDescent="0.3">
      <c r="A58" s="40">
        <v>12</v>
      </c>
      <c r="B58" s="52" t="s">
        <v>190</v>
      </c>
      <c r="C58" s="40" t="s">
        <v>2</v>
      </c>
      <c r="D58" s="65">
        <v>200</v>
      </c>
      <c r="E58" s="37">
        <v>150</v>
      </c>
      <c r="F58" s="35">
        <f t="shared" si="1"/>
        <v>30000</v>
      </c>
      <c r="G58" s="28" t="s">
        <v>134</v>
      </c>
      <c r="H58" s="7"/>
      <c r="I58" s="28"/>
      <c r="J58" s="28"/>
      <c r="K58" s="28"/>
      <c r="L58" s="43"/>
      <c r="M58" s="43"/>
      <c r="N58" s="43"/>
      <c r="O58" s="43"/>
      <c r="P58" s="43"/>
    </row>
    <row r="59" spans="1:17" ht="51" customHeight="1" x14ac:dyDescent="0.3">
      <c r="A59" s="40">
        <v>13</v>
      </c>
      <c r="B59" s="53" t="s">
        <v>191</v>
      </c>
      <c r="C59" s="40" t="s">
        <v>2</v>
      </c>
      <c r="D59" s="65">
        <v>50</v>
      </c>
      <c r="E59" s="34">
        <v>400</v>
      </c>
      <c r="F59" s="35">
        <f t="shared" si="1"/>
        <v>20000</v>
      </c>
      <c r="G59" s="28" t="s">
        <v>135</v>
      </c>
      <c r="H59" s="7"/>
      <c r="I59" s="28"/>
      <c r="J59" s="28"/>
      <c r="K59" s="28">
        <f>ROUNDUP(J59*2.5/(12.3+12.6),0)*3800</f>
        <v>0</v>
      </c>
      <c r="L59" s="43"/>
      <c r="M59" s="43"/>
      <c r="N59" s="43"/>
      <c r="O59" s="43" t="s">
        <v>533</v>
      </c>
      <c r="P59" s="43"/>
      <c r="Q59" s="4" t="s">
        <v>516</v>
      </c>
    </row>
    <row r="60" spans="1:17" ht="51" customHeight="1" x14ac:dyDescent="0.3">
      <c r="A60" s="40">
        <v>14</v>
      </c>
      <c r="B60" s="80" t="s">
        <v>192</v>
      </c>
      <c r="C60" s="40" t="s">
        <v>7</v>
      </c>
      <c r="D60" s="65">
        <v>120</v>
      </c>
      <c r="E60" s="34">
        <v>300</v>
      </c>
      <c r="F60" s="35">
        <f>D60*E60</f>
        <v>36000</v>
      </c>
      <c r="G60" s="28" t="s">
        <v>136</v>
      </c>
      <c r="H60" s="7"/>
      <c r="I60" s="28"/>
      <c r="J60" s="28"/>
      <c r="K60" s="28"/>
      <c r="L60" s="43"/>
      <c r="M60" s="43"/>
      <c r="N60" s="43"/>
      <c r="O60" s="43"/>
      <c r="P60" s="43"/>
    </row>
    <row r="61" spans="1:17" ht="51" customHeight="1" x14ac:dyDescent="0.3">
      <c r="A61" s="40">
        <v>15</v>
      </c>
      <c r="B61" s="51" t="s">
        <v>193</v>
      </c>
      <c r="C61" s="40" t="s">
        <v>6</v>
      </c>
      <c r="D61" s="65">
        <v>15</v>
      </c>
      <c r="E61" s="34">
        <v>1300</v>
      </c>
      <c r="F61" s="35">
        <f t="shared" si="1"/>
        <v>19500</v>
      </c>
      <c r="G61" s="28" t="s">
        <v>137</v>
      </c>
      <c r="H61" s="7"/>
      <c r="I61" s="28"/>
      <c r="J61" s="28"/>
      <c r="K61" s="28"/>
      <c r="L61" s="43"/>
      <c r="M61" s="43"/>
      <c r="N61" s="43"/>
      <c r="O61" s="43"/>
      <c r="P61" s="43"/>
    </row>
    <row r="62" spans="1:17" ht="51" customHeight="1" x14ac:dyDescent="0.3">
      <c r="A62" s="40">
        <v>16</v>
      </c>
      <c r="B62" s="53" t="s">
        <v>194</v>
      </c>
      <c r="C62" s="40" t="s">
        <v>2</v>
      </c>
      <c r="D62" s="65">
        <v>5</v>
      </c>
      <c r="E62" s="37">
        <v>3000</v>
      </c>
      <c r="F62" s="35">
        <f t="shared" si="1"/>
        <v>15000</v>
      </c>
      <c r="G62" s="28" t="s">
        <v>138</v>
      </c>
      <c r="H62" s="7"/>
      <c r="I62" s="28"/>
      <c r="J62" s="28"/>
      <c r="K62" s="28"/>
      <c r="L62" s="43"/>
      <c r="M62" s="43"/>
      <c r="N62" s="43"/>
      <c r="O62" s="43"/>
      <c r="P62" s="43"/>
    </row>
    <row r="63" spans="1:17" ht="51" customHeight="1" x14ac:dyDescent="0.3">
      <c r="A63" s="40">
        <v>17</v>
      </c>
      <c r="B63" s="79" t="s">
        <v>195</v>
      </c>
      <c r="C63" s="40" t="s">
        <v>3</v>
      </c>
      <c r="D63" s="65">
        <v>5</v>
      </c>
      <c r="E63" s="37">
        <v>500</v>
      </c>
      <c r="F63" s="35">
        <f t="shared" si="1"/>
        <v>2500</v>
      </c>
      <c r="G63" s="28" t="s">
        <v>139</v>
      </c>
      <c r="H63" s="7"/>
      <c r="I63" s="28"/>
      <c r="J63" s="28"/>
      <c r="K63" s="28"/>
      <c r="L63" s="43"/>
      <c r="M63" s="43"/>
      <c r="N63" s="43"/>
      <c r="O63" s="43"/>
      <c r="P63" s="43"/>
    </row>
    <row r="64" spans="1:17" ht="51" customHeight="1" x14ac:dyDescent="0.3">
      <c r="A64" s="40">
        <v>18</v>
      </c>
      <c r="B64" s="79" t="s">
        <v>196</v>
      </c>
      <c r="C64" s="40" t="s">
        <v>6</v>
      </c>
      <c r="D64" s="65">
        <v>15</v>
      </c>
      <c r="E64" s="37">
        <v>3000</v>
      </c>
      <c r="F64" s="35">
        <f t="shared" si="1"/>
        <v>45000</v>
      </c>
      <c r="G64" s="28" t="s">
        <v>140</v>
      </c>
      <c r="H64" s="7"/>
      <c r="I64" s="28"/>
      <c r="J64" s="28"/>
      <c r="K64" s="28"/>
      <c r="L64" s="43"/>
      <c r="M64" s="43"/>
      <c r="N64" s="43"/>
      <c r="O64" s="43"/>
      <c r="P64" s="43"/>
    </row>
    <row r="65" spans="1:16" ht="51" customHeight="1" x14ac:dyDescent="0.3">
      <c r="A65" s="40">
        <v>19</v>
      </c>
      <c r="B65" s="79" t="s">
        <v>197</v>
      </c>
      <c r="C65" s="40" t="s">
        <v>8</v>
      </c>
      <c r="D65" s="65">
        <v>3</v>
      </c>
      <c r="E65" s="37">
        <v>4485</v>
      </c>
      <c r="F65" s="35">
        <f>D65*E65</f>
        <v>13455</v>
      </c>
      <c r="G65" s="28" t="s">
        <v>141</v>
      </c>
      <c r="H65" s="7"/>
      <c r="I65" s="28"/>
      <c r="J65" s="28"/>
      <c r="K65" s="28"/>
      <c r="L65" s="43"/>
      <c r="M65" s="43"/>
      <c r="N65" s="43"/>
      <c r="O65" s="43"/>
      <c r="P65" s="43"/>
    </row>
    <row r="66" spans="1:16" ht="51" customHeight="1" x14ac:dyDescent="0.3">
      <c r="A66" s="40">
        <v>20</v>
      </c>
      <c r="B66" s="79" t="s">
        <v>198</v>
      </c>
      <c r="C66" s="40" t="s">
        <v>7</v>
      </c>
      <c r="D66" s="65">
        <v>5</v>
      </c>
      <c r="E66" s="37">
        <v>450</v>
      </c>
      <c r="F66" s="35">
        <f>D66*E66</f>
        <v>2250</v>
      </c>
      <c r="G66" s="28" t="s">
        <v>142</v>
      </c>
      <c r="H66" s="7"/>
      <c r="I66" s="28"/>
      <c r="J66" s="28"/>
      <c r="K66" s="28"/>
      <c r="L66" s="43"/>
      <c r="M66" s="43"/>
      <c r="N66" s="43"/>
      <c r="O66" s="43"/>
      <c r="P66" s="43"/>
    </row>
    <row r="67" spans="1:16" ht="51" customHeight="1" x14ac:dyDescent="0.3">
      <c r="A67" s="40">
        <v>21</v>
      </c>
      <c r="B67" s="79" t="s">
        <v>199</v>
      </c>
      <c r="C67" s="40" t="s">
        <v>13</v>
      </c>
      <c r="D67" s="65">
        <v>2</v>
      </c>
      <c r="E67" s="37">
        <v>1000</v>
      </c>
      <c r="F67" s="35">
        <f t="shared" si="1"/>
        <v>2000</v>
      </c>
      <c r="G67" s="28" t="s">
        <v>143</v>
      </c>
      <c r="H67" s="7"/>
      <c r="I67" s="28"/>
      <c r="J67" s="28"/>
      <c r="K67" s="28"/>
      <c r="L67" s="43"/>
      <c r="M67" s="43"/>
      <c r="N67" s="43"/>
      <c r="O67" s="43"/>
      <c r="P67" s="43"/>
    </row>
    <row r="68" spans="1:16" ht="51" customHeight="1" x14ac:dyDescent="0.3">
      <c r="A68" s="40">
        <v>22</v>
      </c>
      <c r="B68" s="79" t="s">
        <v>200</v>
      </c>
      <c r="C68" s="40" t="s">
        <v>13</v>
      </c>
      <c r="D68" s="65">
        <v>2</v>
      </c>
      <c r="E68" s="37">
        <v>1000</v>
      </c>
      <c r="F68" s="35">
        <f t="shared" si="1"/>
        <v>2000</v>
      </c>
      <c r="G68" s="28" t="s">
        <v>144</v>
      </c>
      <c r="H68" s="7"/>
      <c r="I68" s="28"/>
      <c r="J68" s="28"/>
      <c r="K68" s="28"/>
      <c r="L68" s="43"/>
      <c r="M68" s="43"/>
      <c r="N68" s="43"/>
      <c r="O68" s="43"/>
      <c r="P68" s="43"/>
    </row>
    <row r="69" spans="1:16" ht="51" customHeight="1" x14ac:dyDescent="0.3">
      <c r="A69" s="40">
        <v>23</v>
      </c>
      <c r="B69" s="79" t="s">
        <v>201</v>
      </c>
      <c r="C69" s="40" t="s">
        <v>6</v>
      </c>
      <c r="D69" s="65">
        <v>50</v>
      </c>
      <c r="E69" s="37">
        <v>300</v>
      </c>
      <c r="F69" s="35">
        <f>D69*E69</f>
        <v>15000</v>
      </c>
      <c r="G69" s="28" t="s">
        <v>145</v>
      </c>
      <c r="H69" s="7"/>
      <c r="I69" s="28"/>
      <c r="J69" s="28"/>
      <c r="K69" s="28"/>
      <c r="L69" s="43"/>
      <c r="M69" s="43"/>
      <c r="N69" s="43"/>
      <c r="O69" s="43"/>
      <c r="P69" s="43"/>
    </row>
    <row r="70" spans="1:16" ht="51" customHeight="1" x14ac:dyDescent="0.3">
      <c r="A70" s="40">
        <v>24</v>
      </c>
      <c r="B70" s="79" t="s">
        <v>202</v>
      </c>
      <c r="C70" s="40" t="s">
        <v>7</v>
      </c>
      <c r="D70" s="65">
        <v>200</v>
      </c>
      <c r="E70" s="37">
        <v>400</v>
      </c>
      <c r="F70" s="35">
        <f t="shared" si="1"/>
        <v>80000</v>
      </c>
      <c r="G70" s="28" t="s">
        <v>146</v>
      </c>
      <c r="H70" s="7"/>
      <c r="I70" s="28"/>
      <c r="J70" s="28"/>
      <c r="K70" s="28"/>
      <c r="L70" s="43"/>
      <c r="M70" s="43"/>
      <c r="N70" s="43"/>
      <c r="O70" s="43"/>
      <c r="P70" s="43"/>
    </row>
    <row r="71" spans="1:16" ht="51" customHeight="1" x14ac:dyDescent="0.3">
      <c r="A71" s="40">
        <v>25</v>
      </c>
      <c r="B71" s="52" t="s">
        <v>181</v>
      </c>
      <c r="C71" s="40" t="s">
        <v>6</v>
      </c>
      <c r="D71" s="65">
        <v>100</v>
      </c>
      <c r="E71" s="37">
        <v>80</v>
      </c>
      <c r="F71" s="35">
        <f t="shared" si="1"/>
        <v>8000</v>
      </c>
      <c r="G71" s="28" t="s">
        <v>147</v>
      </c>
      <c r="H71" s="7"/>
      <c r="I71" s="28"/>
      <c r="J71" s="28"/>
      <c r="K71" s="28"/>
      <c r="L71" s="43"/>
      <c r="M71" s="43"/>
      <c r="N71" s="43"/>
      <c r="O71" s="43"/>
      <c r="P71" s="43"/>
    </row>
    <row r="72" spans="1:16" ht="51" customHeight="1" x14ac:dyDescent="0.3">
      <c r="A72" s="40">
        <v>26</v>
      </c>
      <c r="B72" s="79" t="s">
        <v>203</v>
      </c>
      <c r="C72" s="40" t="s">
        <v>19</v>
      </c>
      <c r="D72" s="65">
        <v>50</v>
      </c>
      <c r="E72" s="37">
        <v>200</v>
      </c>
      <c r="F72" s="35">
        <f>D72*E72</f>
        <v>10000</v>
      </c>
      <c r="G72" s="28" t="s">
        <v>148</v>
      </c>
      <c r="H72" s="7"/>
      <c r="I72" s="28"/>
      <c r="J72" s="28"/>
      <c r="K72" s="28"/>
      <c r="L72" s="43"/>
      <c r="M72" s="43"/>
      <c r="N72" s="43"/>
      <c r="O72" s="43"/>
      <c r="P72" s="43"/>
    </row>
    <row r="73" spans="1:16" ht="51" customHeight="1" x14ac:dyDescent="0.3">
      <c r="A73" s="40">
        <v>27</v>
      </c>
      <c r="B73" s="51" t="s">
        <v>204</v>
      </c>
      <c r="C73" s="40" t="s">
        <v>6</v>
      </c>
      <c r="D73" s="65">
        <v>15</v>
      </c>
      <c r="E73" s="37">
        <v>800</v>
      </c>
      <c r="F73" s="35">
        <f>D73*E73</f>
        <v>12000</v>
      </c>
      <c r="G73" s="28" t="s">
        <v>149</v>
      </c>
      <c r="H73" s="7"/>
      <c r="I73" s="28"/>
      <c r="J73" s="28"/>
      <c r="K73" s="28"/>
      <c r="L73" s="43"/>
      <c r="M73" s="43"/>
      <c r="N73" s="43"/>
      <c r="O73" s="43"/>
      <c r="P73" s="43"/>
    </row>
    <row r="74" spans="1:16" ht="51" customHeight="1" x14ac:dyDescent="0.3">
      <c r="A74" s="40">
        <v>28</v>
      </c>
      <c r="B74" s="79" t="s">
        <v>205</v>
      </c>
      <c r="C74" s="40" t="s">
        <v>7</v>
      </c>
      <c r="D74" s="65">
        <v>5</v>
      </c>
      <c r="E74" s="37">
        <v>7000</v>
      </c>
      <c r="F74" s="35">
        <f>D74*E74</f>
        <v>35000</v>
      </c>
      <c r="G74" s="28" t="s">
        <v>150</v>
      </c>
      <c r="H74" s="7"/>
      <c r="I74" s="28"/>
      <c r="J74" s="28"/>
      <c r="K74" s="28"/>
      <c r="L74" s="43"/>
      <c r="M74" s="43"/>
      <c r="N74" s="43"/>
      <c r="O74" s="43"/>
      <c r="P74" s="43"/>
    </row>
    <row r="75" spans="1:16" ht="51" customHeight="1" x14ac:dyDescent="0.3">
      <c r="A75" s="40">
        <v>29</v>
      </c>
      <c r="B75" s="79" t="s">
        <v>151</v>
      </c>
      <c r="C75" s="40" t="s">
        <v>7</v>
      </c>
      <c r="D75" s="65">
        <v>100</v>
      </c>
      <c r="E75" s="37">
        <v>100</v>
      </c>
      <c r="F75" s="35">
        <f t="shared" si="1"/>
        <v>10000</v>
      </c>
      <c r="G75" s="28" t="s">
        <v>152</v>
      </c>
      <c r="H75" s="7"/>
      <c r="I75" s="28"/>
      <c r="J75" s="28"/>
      <c r="K75" s="28"/>
      <c r="L75" s="43"/>
      <c r="M75" s="43"/>
      <c r="N75" s="43"/>
      <c r="O75" s="43"/>
      <c r="P75" s="43"/>
    </row>
    <row r="76" spans="1:16" ht="51" customHeight="1" x14ac:dyDescent="0.3">
      <c r="A76" s="40">
        <v>30</v>
      </c>
      <c r="B76" s="79" t="s">
        <v>206</v>
      </c>
      <c r="C76" s="40" t="s">
        <v>6</v>
      </c>
      <c r="D76" s="65">
        <v>10</v>
      </c>
      <c r="E76" s="37">
        <v>900</v>
      </c>
      <c r="F76" s="35">
        <f t="shared" si="1"/>
        <v>9000</v>
      </c>
      <c r="G76" s="28" t="s">
        <v>153</v>
      </c>
      <c r="H76" s="7"/>
      <c r="I76" s="28"/>
      <c r="J76" s="28"/>
      <c r="K76" s="28"/>
      <c r="L76" s="43"/>
      <c r="M76" s="43"/>
      <c r="N76" s="43"/>
      <c r="O76" s="43"/>
      <c r="P76" s="43"/>
    </row>
    <row r="77" spans="1:16" ht="51" customHeight="1" x14ac:dyDescent="0.3">
      <c r="A77" s="40">
        <v>31</v>
      </c>
      <c r="B77" s="79" t="s">
        <v>207</v>
      </c>
      <c r="C77" s="40" t="s">
        <v>6</v>
      </c>
      <c r="D77" s="65">
        <v>5</v>
      </c>
      <c r="E77" s="37">
        <v>500</v>
      </c>
      <c r="F77" s="35">
        <f>D77*E77</f>
        <v>2500</v>
      </c>
      <c r="G77" s="28" t="s">
        <v>154</v>
      </c>
      <c r="H77" s="7"/>
      <c r="I77" s="28"/>
      <c r="J77" s="28"/>
      <c r="K77" s="28"/>
      <c r="L77" s="43"/>
      <c r="M77" s="43"/>
      <c r="N77" s="43"/>
      <c r="O77" s="43"/>
      <c r="P77" s="43"/>
    </row>
    <row r="78" spans="1:16" ht="51" customHeight="1" x14ac:dyDescent="0.3">
      <c r="A78" s="40">
        <v>32</v>
      </c>
      <c r="B78" s="79" t="s">
        <v>208</v>
      </c>
      <c r="C78" s="40" t="s">
        <v>6</v>
      </c>
      <c r="D78" s="65">
        <v>50</v>
      </c>
      <c r="E78" s="37">
        <v>1100</v>
      </c>
      <c r="F78" s="35">
        <f t="shared" ref="F78:F89" si="2">D78*E78</f>
        <v>55000</v>
      </c>
      <c r="G78" s="28" t="s">
        <v>155</v>
      </c>
      <c r="H78" s="7"/>
      <c r="I78" s="28"/>
      <c r="J78" s="28"/>
      <c r="K78" s="28"/>
      <c r="L78" s="43"/>
      <c r="M78" s="43"/>
      <c r="N78" s="43"/>
      <c r="O78" s="43"/>
      <c r="P78" s="43"/>
    </row>
    <row r="79" spans="1:16" ht="51" customHeight="1" x14ac:dyDescent="0.3">
      <c r="A79" s="40">
        <v>33</v>
      </c>
      <c r="B79" s="79" t="s">
        <v>209</v>
      </c>
      <c r="C79" s="40" t="s">
        <v>18</v>
      </c>
      <c r="D79" s="65">
        <v>2</v>
      </c>
      <c r="E79" s="37">
        <v>5000</v>
      </c>
      <c r="F79" s="35">
        <f t="shared" si="2"/>
        <v>10000</v>
      </c>
      <c r="G79" s="28" t="s">
        <v>156</v>
      </c>
      <c r="H79" s="7"/>
      <c r="I79" s="28"/>
      <c r="J79" s="28"/>
      <c r="K79" s="28"/>
      <c r="L79" s="43"/>
      <c r="M79" s="43"/>
      <c r="N79" s="43"/>
      <c r="O79" s="43"/>
      <c r="P79" s="43"/>
    </row>
    <row r="80" spans="1:16" ht="51" customHeight="1" x14ac:dyDescent="0.3">
      <c r="A80" s="40">
        <v>34</v>
      </c>
      <c r="B80" s="79" t="s">
        <v>157</v>
      </c>
      <c r="C80" s="40" t="s">
        <v>8</v>
      </c>
      <c r="D80" s="65">
        <v>2</v>
      </c>
      <c r="E80" s="37">
        <v>2000</v>
      </c>
      <c r="F80" s="35">
        <f t="shared" si="2"/>
        <v>4000</v>
      </c>
      <c r="G80" s="28" t="s">
        <v>158</v>
      </c>
      <c r="H80" s="7"/>
      <c r="I80" s="28"/>
      <c r="J80" s="28"/>
      <c r="K80" s="28"/>
      <c r="L80" s="43"/>
      <c r="M80" s="43"/>
      <c r="N80" s="43"/>
      <c r="O80" s="43"/>
      <c r="P80" s="43"/>
    </row>
    <row r="81" spans="1:16" ht="51" customHeight="1" x14ac:dyDescent="0.3">
      <c r="A81" s="40">
        <v>35</v>
      </c>
      <c r="B81" s="79" t="s">
        <v>159</v>
      </c>
      <c r="C81" s="40" t="s">
        <v>8</v>
      </c>
      <c r="D81" s="65">
        <v>2</v>
      </c>
      <c r="E81" s="37">
        <v>2000</v>
      </c>
      <c r="F81" s="35">
        <f t="shared" si="2"/>
        <v>4000</v>
      </c>
      <c r="G81" s="28" t="s">
        <v>160</v>
      </c>
      <c r="H81" s="7"/>
      <c r="I81" s="28"/>
      <c r="J81" s="28"/>
      <c r="K81" s="28"/>
      <c r="L81" s="43"/>
      <c r="M81" s="43"/>
      <c r="N81" s="43"/>
      <c r="O81" s="43"/>
      <c r="P81" s="43"/>
    </row>
    <row r="82" spans="1:16" ht="51" customHeight="1" x14ac:dyDescent="0.3">
      <c r="A82" s="40">
        <v>36</v>
      </c>
      <c r="B82" s="79" t="s">
        <v>210</v>
      </c>
      <c r="C82" s="40" t="s">
        <v>8</v>
      </c>
      <c r="D82" s="65">
        <v>2</v>
      </c>
      <c r="E82" s="37">
        <v>28000</v>
      </c>
      <c r="F82" s="35">
        <f t="shared" si="2"/>
        <v>56000</v>
      </c>
      <c r="G82" s="28" t="s">
        <v>161</v>
      </c>
      <c r="H82" s="7"/>
      <c r="I82" s="28"/>
      <c r="J82" s="28"/>
      <c r="K82" s="28"/>
      <c r="L82" s="43"/>
      <c r="M82" s="43"/>
      <c r="N82" s="43"/>
      <c r="O82" s="43"/>
      <c r="P82" s="43"/>
    </row>
    <row r="83" spans="1:16" ht="51" customHeight="1" x14ac:dyDescent="0.3">
      <c r="A83" s="40">
        <v>37</v>
      </c>
      <c r="B83" s="79" t="s">
        <v>162</v>
      </c>
      <c r="C83" s="28" t="s">
        <v>6</v>
      </c>
      <c r="D83" s="65">
        <v>75</v>
      </c>
      <c r="E83" s="37">
        <v>100</v>
      </c>
      <c r="F83" s="35">
        <f t="shared" si="2"/>
        <v>7500</v>
      </c>
      <c r="G83" s="28" t="s">
        <v>163</v>
      </c>
      <c r="H83" s="7"/>
      <c r="I83" s="28"/>
      <c r="J83" s="28"/>
      <c r="K83" s="28"/>
      <c r="L83" s="43"/>
      <c r="M83" s="43"/>
      <c r="N83" s="43"/>
      <c r="O83" s="43"/>
      <c r="P83" s="43"/>
    </row>
    <row r="84" spans="1:16" ht="51" customHeight="1" x14ac:dyDescent="0.3">
      <c r="A84" s="40">
        <v>38</v>
      </c>
      <c r="B84" s="79" t="s">
        <v>211</v>
      </c>
      <c r="C84" s="28" t="s">
        <v>7</v>
      </c>
      <c r="D84" s="65">
        <v>20</v>
      </c>
      <c r="E84" s="37">
        <v>600</v>
      </c>
      <c r="F84" s="35">
        <f t="shared" si="2"/>
        <v>12000</v>
      </c>
      <c r="G84" s="28" t="s">
        <v>164</v>
      </c>
      <c r="H84" s="7"/>
      <c r="I84" s="28"/>
      <c r="J84" s="28"/>
      <c r="K84" s="28"/>
      <c r="L84" s="43"/>
      <c r="M84" s="43"/>
      <c r="N84" s="43"/>
      <c r="O84" s="43"/>
      <c r="P84" s="43"/>
    </row>
    <row r="85" spans="1:16" ht="51" customHeight="1" x14ac:dyDescent="0.3">
      <c r="A85" s="40">
        <v>39</v>
      </c>
      <c r="B85" s="79" t="s">
        <v>212</v>
      </c>
      <c r="C85" s="28" t="s">
        <v>7</v>
      </c>
      <c r="D85" s="65">
        <v>5</v>
      </c>
      <c r="E85" s="37">
        <v>1800</v>
      </c>
      <c r="F85" s="35">
        <f t="shared" si="2"/>
        <v>9000</v>
      </c>
      <c r="G85" s="28" t="s">
        <v>165</v>
      </c>
      <c r="H85" s="7"/>
      <c r="I85" s="28"/>
      <c r="J85" s="28"/>
      <c r="K85" s="28"/>
      <c r="L85" s="43"/>
      <c r="M85" s="43"/>
      <c r="N85" s="43"/>
      <c r="O85" s="43"/>
      <c r="P85" s="43"/>
    </row>
    <row r="86" spans="1:16" ht="51" customHeight="1" x14ac:dyDescent="0.3">
      <c r="A86" s="40">
        <v>40</v>
      </c>
      <c r="B86" s="79" t="s">
        <v>166</v>
      </c>
      <c r="C86" s="28" t="s">
        <v>6</v>
      </c>
      <c r="D86" s="65">
        <v>300</v>
      </c>
      <c r="E86" s="37">
        <v>100</v>
      </c>
      <c r="F86" s="35">
        <f t="shared" si="2"/>
        <v>30000</v>
      </c>
      <c r="G86" s="28" t="s">
        <v>167</v>
      </c>
      <c r="H86" s="7"/>
      <c r="I86" s="28"/>
      <c r="J86" s="28"/>
      <c r="K86" s="28"/>
      <c r="L86" s="43"/>
      <c r="M86" s="43"/>
      <c r="N86" s="43"/>
      <c r="O86" s="43"/>
      <c r="P86" s="43"/>
    </row>
    <row r="87" spans="1:16" ht="51" customHeight="1" x14ac:dyDescent="0.3">
      <c r="A87" s="40">
        <v>41</v>
      </c>
      <c r="B87" s="79" t="s">
        <v>213</v>
      </c>
      <c r="C87" s="28" t="s">
        <v>6</v>
      </c>
      <c r="D87" s="65">
        <v>60</v>
      </c>
      <c r="E87" s="37">
        <v>800</v>
      </c>
      <c r="F87" s="35">
        <f>D87*E87</f>
        <v>48000</v>
      </c>
      <c r="G87" s="28" t="s">
        <v>168</v>
      </c>
      <c r="H87" s="7"/>
      <c r="I87" s="28"/>
      <c r="J87" s="28"/>
      <c r="K87" s="28"/>
      <c r="L87" s="43"/>
      <c r="M87" s="43"/>
      <c r="N87" s="43"/>
      <c r="O87" s="43"/>
      <c r="P87" s="43"/>
    </row>
    <row r="88" spans="1:16" ht="51" customHeight="1" x14ac:dyDescent="0.3">
      <c r="A88" s="40">
        <v>42</v>
      </c>
      <c r="B88" s="53" t="s">
        <v>169</v>
      </c>
      <c r="C88" s="28" t="s">
        <v>6</v>
      </c>
      <c r="D88" s="65">
        <v>25</v>
      </c>
      <c r="E88" s="34">
        <v>400</v>
      </c>
      <c r="F88" s="35">
        <f>D88*E88</f>
        <v>10000</v>
      </c>
      <c r="G88" s="28" t="s">
        <v>170</v>
      </c>
      <c r="H88" s="7"/>
      <c r="I88" s="28"/>
      <c r="J88" s="28"/>
      <c r="K88" s="28"/>
      <c r="L88" s="43"/>
      <c r="M88" s="43"/>
      <c r="N88" s="43"/>
      <c r="O88" s="43"/>
      <c r="P88" s="43"/>
    </row>
    <row r="89" spans="1:16" ht="51" customHeight="1" x14ac:dyDescent="0.3">
      <c r="A89" s="40">
        <v>43</v>
      </c>
      <c r="B89" s="52" t="s">
        <v>171</v>
      </c>
      <c r="C89" s="40" t="s">
        <v>8</v>
      </c>
      <c r="D89" s="65">
        <v>5</v>
      </c>
      <c r="E89" s="37">
        <v>1980</v>
      </c>
      <c r="F89" s="35">
        <f t="shared" si="2"/>
        <v>9900</v>
      </c>
      <c r="G89" s="28" t="s">
        <v>172</v>
      </c>
      <c r="H89" s="7"/>
      <c r="I89" s="28"/>
      <c r="J89" s="28"/>
      <c r="K89" s="28"/>
      <c r="L89" s="43"/>
      <c r="M89" s="43"/>
      <c r="N89" s="43"/>
      <c r="O89" s="43"/>
      <c r="P89" s="43"/>
    </row>
    <row r="90" spans="1:16" ht="51" customHeight="1" x14ac:dyDescent="0.3">
      <c r="A90" s="40">
        <v>44</v>
      </c>
      <c r="B90" s="52" t="s">
        <v>214</v>
      </c>
      <c r="C90" s="40" t="s">
        <v>8</v>
      </c>
      <c r="D90" s="65">
        <v>4</v>
      </c>
      <c r="E90" s="37">
        <v>3500</v>
      </c>
      <c r="F90" s="35">
        <f>D90*E90</f>
        <v>14000</v>
      </c>
      <c r="G90" s="28" t="s">
        <v>173</v>
      </c>
      <c r="H90" s="7"/>
      <c r="I90" s="28"/>
      <c r="J90" s="28"/>
      <c r="K90" s="28"/>
      <c r="L90" s="43"/>
      <c r="M90" s="43"/>
      <c r="N90" s="43"/>
      <c r="O90" s="43"/>
      <c r="P90" s="43"/>
    </row>
    <row r="91" spans="1:16" ht="51" customHeight="1" x14ac:dyDescent="0.3">
      <c r="A91" s="40">
        <v>45</v>
      </c>
      <c r="B91" s="52" t="s">
        <v>215</v>
      </c>
      <c r="C91" s="40" t="s">
        <v>8</v>
      </c>
      <c r="D91" s="65">
        <v>2</v>
      </c>
      <c r="E91" s="37">
        <v>2500</v>
      </c>
      <c r="F91" s="35">
        <f>D91*E91</f>
        <v>5000</v>
      </c>
      <c r="G91" s="28" t="s">
        <v>174</v>
      </c>
      <c r="H91" s="7"/>
      <c r="I91" s="28"/>
      <c r="J91" s="28"/>
      <c r="K91" s="28"/>
      <c r="L91" s="43"/>
      <c r="M91" s="43"/>
      <c r="N91" s="43"/>
      <c r="O91" s="43"/>
      <c r="P91" s="43"/>
    </row>
    <row r="92" spans="1:16" ht="51" customHeight="1" x14ac:dyDescent="0.3">
      <c r="A92" s="40">
        <v>46</v>
      </c>
      <c r="B92" s="52" t="s">
        <v>216</v>
      </c>
      <c r="C92" s="40" t="s">
        <v>8</v>
      </c>
      <c r="D92" s="65">
        <v>2</v>
      </c>
      <c r="E92" s="37">
        <v>4000</v>
      </c>
      <c r="F92" s="35">
        <f t="shared" si="1"/>
        <v>8000</v>
      </c>
      <c r="G92" s="28" t="s">
        <v>175</v>
      </c>
      <c r="H92" s="7"/>
      <c r="I92" s="28"/>
      <c r="J92" s="28"/>
      <c r="K92" s="28"/>
      <c r="L92" s="43"/>
      <c r="M92" s="43"/>
      <c r="N92" s="43"/>
      <c r="O92" s="43"/>
      <c r="P92" s="43"/>
    </row>
    <row r="93" spans="1:16" ht="51" customHeight="1" x14ac:dyDescent="0.3">
      <c r="A93" s="40">
        <v>47</v>
      </c>
      <c r="B93" s="52" t="s">
        <v>217</v>
      </c>
      <c r="C93" s="40" t="s">
        <v>8</v>
      </c>
      <c r="D93" s="65">
        <v>2</v>
      </c>
      <c r="E93" s="37">
        <v>6000</v>
      </c>
      <c r="F93" s="35">
        <f t="shared" si="1"/>
        <v>12000</v>
      </c>
      <c r="G93" s="28" t="s">
        <v>176</v>
      </c>
      <c r="H93" s="7"/>
      <c r="I93" s="28"/>
      <c r="J93" s="28"/>
      <c r="K93" s="28"/>
      <c r="L93" s="43"/>
      <c r="M93" s="43"/>
      <c r="N93" s="43"/>
      <c r="O93" s="43"/>
      <c r="P93" s="43"/>
    </row>
    <row r="94" spans="1:16" ht="51" customHeight="1" x14ac:dyDescent="0.3">
      <c r="A94" s="40">
        <v>48</v>
      </c>
      <c r="B94" s="52" t="s">
        <v>218</v>
      </c>
      <c r="C94" s="40" t="s">
        <v>8</v>
      </c>
      <c r="D94" s="65">
        <v>2</v>
      </c>
      <c r="E94" s="37">
        <v>8000</v>
      </c>
      <c r="F94" s="35">
        <f t="shared" si="1"/>
        <v>16000</v>
      </c>
      <c r="G94" s="28" t="s">
        <v>177</v>
      </c>
      <c r="H94" s="7"/>
      <c r="I94" s="28"/>
      <c r="J94" s="28"/>
      <c r="K94" s="28"/>
      <c r="L94" s="43"/>
      <c r="M94" s="43"/>
      <c r="N94" s="43"/>
      <c r="O94" s="43"/>
      <c r="P94" s="43"/>
    </row>
    <row r="95" spans="1:16" ht="51" customHeight="1" x14ac:dyDescent="0.3">
      <c r="A95" s="40">
        <v>49</v>
      </c>
      <c r="B95" s="52" t="s">
        <v>219</v>
      </c>
      <c r="C95" s="40" t="s">
        <v>8</v>
      </c>
      <c r="D95" s="65">
        <v>2</v>
      </c>
      <c r="E95" s="37">
        <v>12000</v>
      </c>
      <c r="F95" s="35">
        <f>D95*E95</f>
        <v>24000</v>
      </c>
      <c r="G95" s="28" t="s">
        <v>178</v>
      </c>
      <c r="H95" s="7"/>
      <c r="I95" s="28"/>
      <c r="J95" s="28"/>
      <c r="K95" s="28"/>
      <c r="L95" s="43"/>
      <c r="M95" s="43"/>
      <c r="N95" s="43"/>
      <c r="O95" s="43"/>
      <c r="P95" s="43"/>
    </row>
    <row r="96" spans="1:16" ht="51" customHeight="1" x14ac:dyDescent="0.3">
      <c r="A96" s="40">
        <v>50</v>
      </c>
      <c r="B96" s="52" t="s">
        <v>220</v>
      </c>
      <c r="C96" s="40" t="s">
        <v>8</v>
      </c>
      <c r="D96" s="65">
        <v>40</v>
      </c>
      <c r="E96" s="37">
        <v>300</v>
      </c>
      <c r="F96" s="35">
        <f t="shared" si="1"/>
        <v>12000</v>
      </c>
      <c r="G96" s="28" t="s">
        <v>179</v>
      </c>
      <c r="H96" s="7"/>
      <c r="I96" s="28"/>
      <c r="J96" s="28"/>
      <c r="K96" s="28"/>
      <c r="L96" s="43"/>
      <c r="M96" s="43"/>
      <c r="N96" s="43"/>
      <c r="O96" s="43"/>
      <c r="P96" s="43"/>
    </row>
    <row r="97" spans="1:16" ht="51" customHeight="1" x14ac:dyDescent="0.3">
      <c r="A97" s="40">
        <v>51</v>
      </c>
      <c r="B97" s="52" t="s">
        <v>221</v>
      </c>
      <c r="C97" s="40" t="s">
        <v>8</v>
      </c>
      <c r="D97" s="65">
        <v>40</v>
      </c>
      <c r="E97" s="37">
        <v>300</v>
      </c>
      <c r="F97" s="35">
        <f t="shared" si="1"/>
        <v>12000</v>
      </c>
      <c r="G97" s="28" t="s">
        <v>180</v>
      </c>
      <c r="H97" s="7"/>
      <c r="I97" s="28"/>
      <c r="J97" s="28"/>
      <c r="K97" s="28"/>
      <c r="L97" s="43"/>
      <c r="M97" s="43"/>
      <c r="N97" s="43"/>
      <c r="O97" s="43"/>
      <c r="P97" s="43"/>
    </row>
    <row r="98" spans="1:16" ht="30" customHeight="1" x14ac:dyDescent="0.3">
      <c r="A98" s="28"/>
      <c r="B98" s="48" t="s">
        <v>43</v>
      </c>
      <c r="C98" s="28"/>
      <c r="D98" s="67"/>
      <c r="E98" s="49"/>
      <c r="F98" s="50">
        <f>SUM(F47:F97)</f>
        <v>1011855</v>
      </c>
      <c r="G98" s="75"/>
      <c r="H98" s="174"/>
      <c r="I98" s="7"/>
      <c r="J98" s="7"/>
      <c r="K98" s="7"/>
    </row>
    <row r="99" spans="1:16" ht="30" customHeight="1" x14ac:dyDescent="0.3">
      <c r="A99" s="28"/>
      <c r="B99" s="48" t="s">
        <v>44</v>
      </c>
      <c r="C99" s="70">
        <v>0.15</v>
      </c>
      <c r="D99" s="68"/>
      <c r="E99" s="49"/>
      <c r="F99" s="50">
        <f>F98*C99</f>
        <v>151778.25</v>
      </c>
      <c r="G99" s="76"/>
      <c r="H99" s="175"/>
      <c r="I99" s="7"/>
      <c r="J99" s="7"/>
      <c r="K99" s="7"/>
    </row>
    <row r="100" spans="1:16" ht="30" customHeight="1" x14ac:dyDescent="0.3">
      <c r="A100" s="28"/>
      <c r="B100" s="48" t="s">
        <v>45</v>
      </c>
      <c r="C100" s="28"/>
      <c r="D100" s="68"/>
      <c r="E100" s="49"/>
      <c r="F100" s="50">
        <f>SUM(F98:F99)</f>
        <v>1163633.25</v>
      </c>
      <c r="G100" s="76"/>
      <c r="H100" s="175"/>
      <c r="I100" s="7"/>
      <c r="J100" s="7"/>
      <c r="K100" s="7"/>
    </row>
    <row r="101" spans="1:16" ht="30" customHeight="1" x14ac:dyDescent="0.3">
      <c r="A101" s="28"/>
      <c r="B101" s="54"/>
      <c r="C101" s="28"/>
      <c r="D101" s="66"/>
      <c r="E101" s="55"/>
      <c r="F101" s="56"/>
      <c r="G101" s="77"/>
      <c r="H101" s="3"/>
      <c r="I101" s="7"/>
      <c r="J101" s="7"/>
      <c r="K101" s="7"/>
    </row>
    <row r="102" spans="1:16" ht="30" customHeight="1" x14ac:dyDescent="0.3">
      <c r="A102" s="28"/>
      <c r="B102" s="57" t="s">
        <v>16</v>
      </c>
      <c r="C102" s="28"/>
      <c r="D102" s="68"/>
      <c r="E102" s="49"/>
      <c r="F102" s="58">
        <f>F44+F100</f>
        <v>1992202.5</v>
      </c>
      <c r="G102" s="78"/>
      <c r="H102" s="159"/>
      <c r="I102" s="7"/>
      <c r="J102" s="7"/>
      <c r="K102" s="7"/>
    </row>
    <row r="103" spans="1:16" x14ac:dyDescent="0.3">
      <c r="A103" s="228" t="s">
        <v>17</v>
      </c>
      <c r="B103" s="227" t="s">
        <v>46</v>
      </c>
      <c r="C103" s="227"/>
      <c r="D103" s="227"/>
      <c r="E103" s="227"/>
      <c r="F103" s="227"/>
      <c r="G103" s="227"/>
      <c r="I103" s="7"/>
      <c r="J103" s="7"/>
      <c r="K103" s="7"/>
    </row>
    <row r="104" spans="1:16" x14ac:dyDescent="0.3">
      <c r="A104" s="250"/>
      <c r="B104" s="227" t="s">
        <v>47</v>
      </c>
      <c r="C104" s="227"/>
      <c r="D104" s="227"/>
      <c r="E104" s="227"/>
      <c r="F104" s="227"/>
      <c r="G104" s="227"/>
      <c r="I104" s="7"/>
      <c r="J104" s="7"/>
      <c r="K104" s="7"/>
    </row>
    <row r="105" spans="1:16" x14ac:dyDescent="0.3">
      <c r="A105" s="251"/>
      <c r="B105" s="227" t="s">
        <v>480</v>
      </c>
      <c r="C105" s="227"/>
      <c r="D105" s="227"/>
      <c r="E105" s="227"/>
      <c r="F105" s="227"/>
      <c r="G105" s="227"/>
      <c r="I105" s="7"/>
      <c r="J105" s="7"/>
      <c r="K105" s="7"/>
    </row>
    <row r="106" spans="1:16" x14ac:dyDescent="0.3">
      <c r="A106" s="3" t="s">
        <v>49</v>
      </c>
    </row>
    <row r="107" spans="1:16" x14ac:dyDescent="0.3">
      <c r="A107" s="3" t="s">
        <v>535</v>
      </c>
    </row>
    <row r="108" spans="1:16" x14ac:dyDescent="0.3">
      <c r="A108" s="3" t="s">
        <v>250</v>
      </c>
    </row>
  </sheetData>
  <mergeCells count="9">
    <mergeCell ref="A1:G1"/>
    <mergeCell ref="B103:G103"/>
    <mergeCell ref="B105:G105"/>
    <mergeCell ref="B12:G12"/>
    <mergeCell ref="F3:G3"/>
    <mergeCell ref="F10:G10"/>
    <mergeCell ref="B46:G46"/>
    <mergeCell ref="A103:A105"/>
    <mergeCell ref="B104:G104"/>
  </mergeCells>
  <phoneticPr fontId="3" type="noConversion"/>
  <printOptions horizontalCentered="1"/>
  <pageMargins left="0.59055118110236227" right="0.27559055118110237" top="0.39370078740157483" bottom="0.39370078740157483" header="0.19685039370078741" footer="0"/>
  <pageSetup paperSize="9" scale="68" fitToHeight="0" orientation="portrait" horizontalDpi="300" verticalDpi="300" r:id="rId1"/>
  <headerFooter alignWithMargins="0">
    <oddFooter>&amp;C&amp;P/&amp;N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87"/>
  <sheetViews>
    <sheetView showGridLines="0" view="pageBreakPreview" zoomScale="55" zoomScaleNormal="70" zoomScaleSheetLayoutView="55" zoomScalePageLayoutView="85" workbookViewId="0">
      <pane xSplit="3" ySplit="1" topLeftCell="D74" activePane="bottomRight" state="frozen"/>
      <selection pane="topRight" activeCell="D1" sqref="D1"/>
      <selection pane="bottomLeft" activeCell="A2" sqref="A2"/>
      <selection pane="bottomRight" activeCell="L9" sqref="L9"/>
    </sheetView>
  </sheetViews>
  <sheetFormatPr defaultColWidth="9" defaultRowHeight="17.399999999999999" x14ac:dyDescent="0.3"/>
  <cols>
    <col min="1" max="1" width="5.6640625" style="7" customWidth="1"/>
    <col min="2" max="2" width="59.6640625" style="4" customWidth="1"/>
    <col min="3" max="3" width="8.44140625" style="4" customWidth="1"/>
    <col min="4" max="4" width="8.6640625" style="69" customWidth="1"/>
    <col min="5" max="6" width="15" style="69" bestFit="1" customWidth="1"/>
    <col min="7" max="7" width="15.6640625" style="69" bestFit="1" customWidth="1"/>
    <col min="8" max="8" width="24" style="4" customWidth="1"/>
    <col min="9" max="9" width="7.6640625" style="4" customWidth="1"/>
    <col min="10" max="10" width="19" style="4" customWidth="1"/>
    <col min="11" max="11" width="18.6640625" style="4" customWidth="1"/>
    <col min="12" max="12" width="19" style="7" customWidth="1"/>
    <col min="13" max="13" width="15.6640625" style="4" customWidth="1"/>
    <col min="14" max="15" width="14" style="4" customWidth="1"/>
    <col min="16" max="16" width="13" style="4" bestFit="1" customWidth="1"/>
    <col min="17" max="17" width="24.44140625" style="4" bestFit="1" customWidth="1"/>
    <col min="18" max="18" width="13" style="4" customWidth="1"/>
    <col min="19" max="19" width="9" style="4" customWidth="1"/>
    <col min="20" max="20" width="6.6640625" style="4" customWidth="1"/>
    <col min="21" max="16384" width="9" style="4"/>
  </cols>
  <sheetData>
    <row r="1" spans="1:18" ht="29.4" x14ac:dyDescent="0.3">
      <c r="A1" s="222" t="s">
        <v>14</v>
      </c>
      <c r="B1" s="222"/>
      <c r="C1" s="222"/>
      <c r="D1" s="222"/>
      <c r="E1" s="222"/>
      <c r="F1" s="222"/>
      <c r="G1" s="222"/>
      <c r="H1" s="222"/>
      <c r="I1" s="158"/>
    </row>
    <row r="2" spans="1:18" x14ac:dyDescent="0.3">
      <c r="B2" s="8"/>
      <c r="C2" s="8"/>
      <c r="D2" s="61"/>
      <c r="E2" s="61"/>
      <c r="F2" s="61"/>
      <c r="G2" s="61"/>
      <c r="H2" s="10">
        <v>45799</v>
      </c>
      <c r="I2" s="10"/>
    </row>
    <row r="3" spans="1:18" x14ac:dyDescent="0.3">
      <c r="A3" s="11"/>
      <c r="B3" s="13"/>
      <c r="C3" s="14"/>
      <c r="D3" s="71"/>
      <c r="E3" s="71"/>
      <c r="F3" s="16" t="s">
        <v>48</v>
      </c>
      <c r="G3" s="111" t="s">
        <v>458</v>
      </c>
      <c r="H3" s="88"/>
      <c r="I3" s="73"/>
    </row>
    <row r="4" spans="1:18" x14ac:dyDescent="0.3">
      <c r="A4" s="17"/>
      <c r="C4" s="7"/>
      <c r="D4" s="72"/>
      <c r="E4" s="72"/>
      <c r="F4" s="19"/>
      <c r="G4" s="19"/>
      <c r="H4" s="20"/>
    </row>
    <row r="5" spans="1:18" x14ac:dyDescent="0.3">
      <c r="A5" s="17"/>
      <c r="C5" s="7"/>
      <c r="D5" s="72"/>
      <c r="E5" s="72"/>
      <c r="F5" s="19" t="s">
        <v>21</v>
      </c>
      <c r="G5" s="60" t="s">
        <v>459</v>
      </c>
      <c r="H5" s="74"/>
      <c r="I5" s="73"/>
    </row>
    <row r="6" spans="1:18" x14ac:dyDescent="0.3">
      <c r="A6" s="17"/>
      <c r="C6" s="7"/>
      <c r="D6" s="72"/>
      <c r="E6" s="72"/>
      <c r="F6" s="19" t="s">
        <v>22</v>
      </c>
      <c r="G6" s="152" t="s">
        <v>460</v>
      </c>
      <c r="H6" s="74"/>
      <c r="I6" s="73"/>
    </row>
    <row r="7" spans="1:18" x14ac:dyDescent="0.3">
      <c r="A7" s="17"/>
      <c r="C7" s="7"/>
      <c r="D7" s="72"/>
      <c r="E7" s="72"/>
      <c r="F7" s="19" t="s">
        <v>23</v>
      </c>
      <c r="G7" s="152" t="s">
        <v>461</v>
      </c>
      <c r="H7" s="74"/>
      <c r="I7" s="73"/>
    </row>
    <row r="8" spans="1:18" x14ac:dyDescent="0.3">
      <c r="A8" s="21" t="s">
        <v>24</v>
      </c>
      <c r="C8" s="7"/>
      <c r="D8" s="72"/>
      <c r="E8" s="72"/>
      <c r="F8" s="22" t="s">
        <v>25</v>
      </c>
      <c r="G8" s="22"/>
      <c r="H8" s="74"/>
      <c r="I8" s="73"/>
    </row>
    <row r="9" spans="1:18" ht="22.2" customHeight="1" x14ac:dyDescent="0.3">
      <c r="A9" s="21" t="s">
        <v>26</v>
      </c>
      <c r="C9" s="112"/>
      <c r="D9" s="113"/>
      <c r="E9" s="113"/>
      <c r="F9" s="19" t="s">
        <v>27</v>
      </c>
      <c r="G9" s="153" t="s">
        <v>462</v>
      </c>
      <c r="H9" s="74"/>
      <c r="I9" s="73"/>
    </row>
    <row r="10" spans="1:18" ht="22.2" customHeight="1" x14ac:dyDescent="0.3">
      <c r="A10" s="23" t="s">
        <v>297</v>
      </c>
      <c r="B10" s="24"/>
      <c r="C10" s="25"/>
      <c r="D10" s="62"/>
      <c r="E10" s="62"/>
      <c r="F10" s="27"/>
      <c r="G10" s="27"/>
      <c r="H10" s="89"/>
      <c r="I10" s="73"/>
    </row>
    <row r="11" spans="1:18" x14ac:dyDescent="0.3">
      <c r="A11" s="28" t="s">
        <v>28</v>
      </c>
      <c r="B11" s="28" t="s">
        <v>29</v>
      </c>
      <c r="C11" s="28" t="s">
        <v>296</v>
      </c>
      <c r="D11" s="28" t="s">
        <v>30</v>
      </c>
      <c r="E11" s="40" t="s">
        <v>291</v>
      </c>
      <c r="F11" s="40" t="s">
        <v>292</v>
      </c>
      <c r="G11" s="40" t="s">
        <v>293</v>
      </c>
      <c r="H11" s="28" t="s">
        <v>17</v>
      </c>
      <c r="I11" s="7"/>
      <c r="J11" s="157" t="s">
        <v>443</v>
      </c>
      <c r="K11" s="157" t="s">
        <v>548</v>
      </c>
      <c r="L11" s="162" t="s">
        <v>444</v>
      </c>
      <c r="M11" s="162" t="s">
        <v>445</v>
      </c>
      <c r="N11" s="157" t="s">
        <v>540</v>
      </c>
      <c r="O11" s="178">
        <v>1.3</v>
      </c>
      <c r="P11" s="157" t="s">
        <v>457</v>
      </c>
      <c r="Q11" s="157" t="s">
        <v>463</v>
      </c>
      <c r="R11" s="157" t="s">
        <v>291</v>
      </c>
    </row>
    <row r="12" spans="1:18" ht="55.2" customHeight="1" x14ac:dyDescent="0.3">
      <c r="A12" s="40">
        <v>1</v>
      </c>
      <c r="B12" s="52" t="s">
        <v>253</v>
      </c>
      <c r="C12" s="40"/>
      <c r="D12" s="40" t="s">
        <v>13</v>
      </c>
      <c r="E12" s="34">
        <v>5000</v>
      </c>
      <c r="F12" s="34">
        <v>0</v>
      </c>
      <c r="G12" s="35">
        <f>C12*(E12+F12)</f>
        <v>0</v>
      </c>
      <c r="H12" s="28"/>
      <c r="I12" s="7"/>
      <c r="J12" s="28"/>
      <c r="K12" s="28"/>
      <c r="L12" s="28"/>
      <c r="M12" s="43"/>
      <c r="N12" s="43"/>
      <c r="O12" s="43"/>
      <c r="P12" s="43"/>
      <c r="Q12" s="43"/>
      <c r="R12" s="43"/>
    </row>
    <row r="13" spans="1:18" ht="55.2" customHeight="1" x14ac:dyDescent="0.3">
      <c r="A13" s="40">
        <v>2</v>
      </c>
      <c r="B13" s="52" t="s">
        <v>254</v>
      </c>
      <c r="C13" s="40"/>
      <c r="D13" s="40" t="s">
        <v>13</v>
      </c>
      <c r="E13" s="34">
        <v>380</v>
      </c>
      <c r="F13" s="34">
        <v>1000</v>
      </c>
      <c r="G13" s="35">
        <f t="shared" ref="G13:G78" si="0">C13*(E13+F13)</f>
        <v>0</v>
      </c>
      <c r="H13" s="28">
        <v>3500450275</v>
      </c>
      <c r="I13" s="7"/>
      <c r="J13" s="28"/>
      <c r="K13" s="28"/>
      <c r="L13" s="28"/>
      <c r="M13" s="43"/>
      <c r="N13" s="43"/>
      <c r="O13" s="43"/>
      <c r="P13" s="43"/>
      <c r="Q13" s="43"/>
      <c r="R13" s="43"/>
    </row>
    <row r="14" spans="1:18" ht="55.2" customHeight="1" x14ac:dyDescent="0.3">
      <c r="A14" s="40">
        <v>3</v>
      </c>
      <c r="B14" s="31" t="s">
        <v>65</v>
      </c>
      <c r="C14" s="28"/>
      <c r="D14" s="28" t="s">
        <v>1</v>
      </c>
      <c r="E14" s="34">
        <v>5000</v>
      </c>
      <c r="F14" s="34">
        <v>10000</v>
      </c>
      <c r="G14" s="35">
        <f t="shared" si="0"/>
        <v>0</v>
      </c>
      <c r="H14" s="28">
        <v>3500340177</v>
      </c>
      <c r="I14" s="7"/>
      <c r="J14" s="28"/>
      <c r="K14" s="28"/>
      <c r="L14" s="28"/>
      <c r="M14" s="43"/>
      <c r="N14" s="43"/>
      <c r="O14" s="43"/>
      <c r="P14" s="43"/>
      <c r="Q14" s="43"/>
      <c r="R14" s="43"/>
    </row>
    <row r="15" spans="1:18" ht="55.2" customHeight="1" x14ac:dyDescent="0.3">
      <c r="A15" s="40">
        <v>4</v>
      </c>
      <c r="B15" s="81" t="s">
        <v>223</v>
      </c>
      <c r="C15" s="40"/>
      <c r="D15" s="40" t="s">
        <v>3</v>
      </c>
      <c r="E15" s="34">
        <v>1500</v>
      </c>
      <c r="F15" s="34">
        <v>0</v>
      </c>
      <c r="G15" s="35">
        <f t="shared" si="0"/>
        <v>0</v>
      </c>
      <c r="H15" s="28"/>
      <c r="I15" s="7"/>
      <c r="J15" s="28"/>
      <c r="K15" s="28"/>
      <c r="L15" s="28"/>
      <c r="M15" s="43"/>
      <c r="N15" s="43"/>
      <c r="O15" s="43"/>
      <c r="P15" s="43"/>
      <c r="Q15" s="160" t="s">
        <v>491</v>
      </c>
      <c r="R15" s="160" t="s">
        <v>525</v>
      </c>
    </row>
    <row r="16" spans="1:18" ht="55.2" customHeight="1" x14ac:dyDescent="0.3">
      <c r="A16" s="40">
        <v>5</v>
      </c>
      <c r="B16" s="81" t="s">
        <v>74</v>
      </c>
      <c r="C16" s="28"/>
      <c r="D16" s="28" t="s">
        <v>2</v>
      </c>
      <c r="E16" s="37">
        <v>1000</v>
      </c>
      <c r="F16" s="34">
        <v>0</v>
      </c>
      <c r="G16" s="35">
        <f t="shared" si="0"/>
        <v>0</v>
      </c>
      <c r="H16" s="28"/>
      <c r="I16" s="7"/>
      <c r="J16" s="28"/>
      <c r="K16" s="28"/>
      <c r="L16" s="28"/>
      <c r="M16" s="43"/>
      <c r="N16" s="43"/>
      <c r="O16" s="43"/>
      <c r="P16" s="43"/>
      <c r="Q16" s="43"/>
      <c r="R16" s="43"/>
    </row>
    <row r="17" spans="1:18" ht="55.2" customHeight="1" x14ac:dyDescent="0.3">
      <c r="A17" s="40">
        <v>6</v>
      </c>
      <c r="B17" s="81" t="s">
        <v>72</v>
      </c>
      <c r="C17" s="40"/>
      <c r="D17" s="40" t="s">
        <v>2</v>
      </c>
      <c r="E17" s="37">
        <v>500</v>
      </c>
      <c r="F17" s="34">
        <v>0</v>
      </c>
      <c r="G17" s="35">
        <f t="shared" si="0"/>
        <v>0</v>
      </c>
      <c r="H17" s="28"/>
      <c r="I17" s="7"/>
      <c r="J17" s="28"/>
      <c r="K17" s="28"/>
      <c r="L17" s="28"/>
      <c r="M17" s="43"/>
      <c r="N17" s="43"/>
      <c r="O17" s="43"/>
      <c r="P17" s="43"/>
      <c r="Q17" s="43"/>
      <c r="R17" s="43"/>
    </row>
    <row r="18" spans="1:18" ht="55.2" customHeight="1" x14ac:dyDescent="0.3">
      <c r="A18" s="40">
        <v>7</v>
      </c>
      <c r="B18" s="36" t="s">
        <v>224</v>
      </c>
      <c r="C18" s="40"/>
      <c r="D18" s="40" t="s">
        <v>2</v>
      </c>
      <c r="E18" s="34">
        <v>3000</v>
      </c>
      <c r="F18" s="34">
        <v>0</v>
      </c>
      <c r="G18" s="35">
        <f t="shared" si="0"/>
        <v>0</v>
      </c>
      <c r="H18" s="28"/>
      <c r="I18" s="7"/>
      <c r="J18" s="28"/>
      <c r="K18" s="28"/>
      <c r="L18" s="28">
        <f>ROUNDUP(C18*4/(20+10),0)*5100</f>
        <v>0</v>
      </c>
      <c r="M18" s="43"/>
      <c r="N18" s="43">
        <f>(J18+L18+M18)*1.3</f>
        <v>0</v>
      </c>
      <c r="O18" s="43"/>
      <c r="P18" s="43"/>
      <c r="Q18" s="164" t="s">
        <v>490</v>
      </c>
      <c r="R18" s="157" t="s">
        <v>465</v>
      </c>
    </row>
    <row r="19" spans="1:18" ht="55.2" customHeight="1" x14ac:dyDescent="0.3">
      <c r="A19" s="40">
        <v>8</v>
      </c>
      <c r="B19" s="41" t="s">
        <v>255</v>
      </c>
      <c r="C19" s="40"/>
      <c r="D19" s="40" t="s">
        <v>6</v>
      </c>
      <c r="E19" s="34">
        <v>2500</v>
      </c>
      <c r="F19" s="34">
        <v>0</v>
      </c>
      <c r="G19" s="35">
        <f t="shared" si="0"/>
        <v>0</v>
      </c>
      <c r="H19" s="28"/>
      <c r="I19" s="7"/>
      <c r="J19" s="28"/>
      <c r="K19" s="28"/>
      <c r="L19" s="28"/>
      <c r="M19" s="43"/>
      <c r="N19" s="43"/>
      <c r="O19" s="43"/>
      <c r="P19" s="43"/>
      <c r="Q19" s="160" t="s">
        <v>492</v>
      </c>
      <c r="R19" s="157" t="s">
        <v>465</v>
      </c>
    </row>
    <row r="20" spans="1:18" ht="55.2" customHeight="1" x14ac:dyDescent="0.3">
      <c r="A20" s="40">
        <v>9</v>
      </c>
      <c r="B20" s="52" t="s">
        <v>310</v>
      </c>
      <c r="C20" s="40"/>
      <c r="D20" s="40" t="s">
        <v>13</v>
      </c>
      <c r="E20" s="34">
        <v>1200</v>
      </c>
      <c r="F20" s="34">
        <v>0</v>
      </c>
      <c r="G20" s="35">
        <f t="shared" si="0"/>
        <v>0</v>
      </c>
      <c r="H20" s="28"/>
      <c r="I20" s="7"/>
      <c r="J20" s="28"/>
      <c r="K20" s="28"/>
      <c r="L20" s="28"/>
      <c r="M20" s="43"/>
      <c r="N20" s="43"/>
      <c r="O20" s="43"/>
      <c r="P20" s="43"/>
      <c r="Q20" s="160" t="s">
        <v>466</v>
      </c>
      <c r="R20" s="160" t="s">
        <v>483</v>
      </c>
    </row>
    <row r="21" spans="1:18" ht="55.2" customHeight="1" x14ac:dyDescent="0.3">
      <c r="A21" s="40">
        <v>10</v>
      </c>
      <c r="B21" s="52" t="s">
        <v>311</v>
      </c>
      <c r="C21" s="40"/>
      <c r="D21" s="40" t="s">
        <v>13</v>
      </c>
      <c r="E21" s="34">
        <v>872</v>
      </c>
      <c r="F21" s="34">
        <v>600</v>
      </c>
      <c r="G21" s="35">
        <f t="shared" si="0"/>
        <v>0</v>
      </c>
      <c r="H21" s="28">
        <v>3500458281</v>
      </c>
      <c r="I21" s="7"/>
      <c r="J21" s="28"/>
      <c r="K21" s="28"/>
      <c r="L21" s="28"/>
      <c r="M21" s="43"/>
      <c r="N21" s="43"/>
      <c r="O21" s="43"/>
      <c r="P21" s="43"/>
      <c r="Q21" s="160" t="s">
        <v>493</v>
      </c>
      <c r="R21" s="160" t="s">
        <v>484</v>
      </c>
    </row>
    <row r="22" spans="1:18" ht="55.2" customHeight="1" x14ac:dyDescent="0.3">
      <c r="A22" s="40">
        <v>11</v>
      </c>
      <c r="B22" s="52" t="s">
        <v>312</v>
      </c>
      <c r="C22" s="40"/>
      <c r="D22" s="40" t="s">
        <v>13</v>
      </c>
      <c r="E22" s="34">
        <v>3500</v>
      </c>
      <c r="F22" s="34">
        <v>0</v>
      </c>
      <c r="G22" s="35">
        <f t="shared" si="0"/>
        <v>0</v>
      </c>
      <c r="H22" s="28"/>
      <c r="I22" s="7"/>
      <c r="J22" s="28"/>
      <c r="K22" s="28"/>
      <c r="L22" s="28"/>
      <c r="M22" s="43"/>
      <c r="N22" s="43"/>
      <c r="O22" s="43"/>
      <c r="P22" s="43"/>
      <c r="Q22" s="160" t="s">
        <v>466</v>
      </c>
      <c r="R22" s="160" t="s">
        <v>485</v>
      </c>
    </row>
    <row r="23" spans="1:18" ht="55.2" customHeight="1" x14ac:dyDescent="0.3">
      <c r="A23" s="40">
        <v>12</v>
      </c>
      <c r="B23" s="53" t="s">
        <v>256</v>
      </c>
      <c r="C23" s="28"/>
      <c r="D23" s="28" t="s">
        <v>15</v>
      </c>
      <c r="E23" s="37">
        <v>300</v>
      </c>
      <c r="F23" s="34">
        <v>0</v>
      </c>
      <c r="G23" s="35">
        <f t="shared" si="0"/>
        <v>0</v>
      </c>
      <c r="H23" s="28"/>
      <c r="I23" s="7"/>
      <c r="J23" s="28"/>
      <c r="K23" s="28"/>
      <c r="L23" s="28"/>
      <c r="M23" s="43"/>
      <c r="N23" s="43"/>
      <c r="O23" s="43"/>
      <c r="P23" s="43"/>
      <c r="Q23" s="157" t="s">
        <v>494</v>
      </c>
      <c r="R23" s="157" t="s">
        <v>495</v>
      </c>
    </row>
    <row r="24" spans="1:18" ht="55.2" customHeight="1" x14ac:dyDescent="0.3">
      <c r="A24" s="40">
        <v>13</v>
      </c>
      <c r="B24" s="53" t="s">
        <v>257</v>
      </c>
      <c r="C24" s="28"/>
      <c r="D24" s="28" t="s">
        <v>10</v>
      </c>
      <c r="E24" s="37">
        <v>3000</v>
      </c>
      <c r="F24" s="34">
        <v>0</v>
      </c>
      <c r="G24" s="35">
        <f t="shared" si="0"/>
        <v>0</v>
      </c>
      <c r="H24" s="28"/>
      <c r="I24" s="7"/>
      <c r="J24" s="28"/>
      <c r="K24" s="28"/>
      <c r="L24" s="28"/>
      <c r="M24" s="43"/>
      <c r="N24" s="43"/>
      <c r="O24" s="43"/>
      <c r="P24" s="43"/>
      <c r="Q24" s="160" t="s">
        <v>486</v>
      </c>
      <c r="R24" s="165" t="s">
        <v>496</v>
      </c>
    </row>
    <row r="25" spans="1:18" ht="55.2" customHeight="1" x14ac:dyDescent="0.3">
      <c r="A25" s="40">
        <v>14</v>
      </c>
      <c r="B25" s="53" t="s">
        <v>258</v>
      </c>
      <c r="C25" s="28"/>
      <c r="D25" s="28" t="s">
        <v>9</v>
      </c>
      <c r="E25" s="37">
        <v>3000</v>
      </c>
      <c r="F25" s="34">
        <v>0</v>
      </c>
      <c r="G25" s="35">
        <f t="shared" si="0"/>
        <v>0</v>
      </c>
      <c r="H25" s="28"/>
      <c r="I25" s="7"/>
      <c r="J25" s="28"/>
      <c r="K25" s="28"/>
      <c r="L25" s="28"/>
      <c r="M25" s="43"/>
      <c r="N25" s="43"/>
      <c r="O25" s="43"/>
      <c r="P25" s="43"/>
      <c r="Q25" s="157" t="s">
        <v>489</v>
      </c>
      <c r="R25" s="157" t="s">
        <v>495</v>
      </c>
    </row>
    <row r="26" spans="1:18" ht="55.2" customHeight="1" x14ac:dyDescent="0.3">
      <c r="A26" s="40">
        <v>15</v>
      </c>
      <c r="B26" s="41" t="s">
        <v>287</v>
      </c>
      <c r="C26" s="40"/>
      <c r="D26" s="40" t="s">
        <v>6</v>
      </c>
      <c r="E26" s="34">
        <v>10000</v>
      </c>
      <c r="F26" s="34">
        <v>0</v>
      </c>
      <c r="G26" s="35">
        <f t="shared" si="0"/>
        <v>0</v>
      </c>
      <c r="H26" s="28"/>
      <c r="I26" s="7"/>
      <c r="J26" s="28"/>
      <c r="K26" s="28"/>
      <c r="L26" s="28"/>
      <c r="M26" s="43"/>
      <c r="N26" s="43"/>
      <c r="O26" s="43"/>
      <c r="P26" s="43"/>
      <c r="Q26" s="157" t="s">
        <v>487</v>
      </c>
      <c r="R26" s="157" t="s">
        <v>488</v>
      </c>
    </row>
    <row r="27" spans="1:18" ht="55.2" customHeight="1" x14ac:dyDescent="0.3">
      <c r="A27" s="40">
        <v>16</v>
      </c>
      <c r="B27" s="53" t="s">
        <v>259</v>
      </c>
      <c r="C27" s="28"/>
      <c r="D27" s="28" t="s">
        <v>6</v>
      </c>
      <c r="E27" s="37">
        <v>2000</v>
      </c>
      <c r="F27" s="34">
        <v>0</v>
      </c>
      <c r="G27" s="35">
        <f t="shared" si="0"/>
        <v>0</v>
      </c>
      <c r="H27" s="28"/>
      <c r="I27" s="7"/>
      <c r="J27" s="28"/>
      <c r="K27" s="28"/>
      <c r="L27" s="28"/>
      <c r="M27" s="43"/>
      <c r="N27" s="43"/>
      <c r="O27" s="43"/>
      <c r="P27" s="43"/>
      <c r="Q27" s="157">
        <v>1</v>
      </c>
      <c r="R27" s="157" t="s">
        <v>497</v>
      </c>
    </row>
    <row r="28" spans="1:18" ht="55.2" customHeight="1" x14ac:dyDescent="0.3">
      <c r="A28" s="40">
        <v>17</v>
      </c>
      <c r="B28" s="53" t="s">
        <v>260</v>
      </c>
      <c r="C28" s="28"/>
      <c r="D28" s="28" t="s">
        <v>10</v>
      </c>
      <c r="E28" s="37">
        <v>3000</v>
      </c>
      <c r="F28" s="34">
        <v>0</v>
      </c>
      <c r="G28" s="35">
        <f t="shared" si="0"/>
        <v>0</v>
      </c>
      <c r="H28" s="28"/>
      <c r="I28" s="7"/>
      <c r="J28" s="28"/>
      <c r="K28" s="28"/>
      <c r="L28" s="28"/>
      <c r="M28" s="43"/>
      <c r="N28" s="43"/>
      <c r="O28" s="43"/>
      <c r="P28" s="43"/>
      <c r="Q28" s="160" t="s">
        <v>498</v>
      </c>
      <c r="R28" s="160" t="s">
        <v>499</v>
      </c>
    </row>
    <row r="29" spans="1:18" ht="55.2" customHeight="1" x14ac:dyDescent="0.3">
      <c r="A29" s="40">
        <v>18</v>
      </c>
      <c r="B29" s="52" t="s">
        <v>290</v>
      </c>
      <c r="C29" s="28"/>
      <c r="D29" s="28" t="s">
        <v>5</v>
      </c>
      <c r="E29" s="37">
        <v>100</v>
      </c>
      <c r="F29" s="34">
        <v>452</v>
      </c>
      <c r="G29" s="35">
        <f t="shared" si="0"/>
        <v>0</v>
      </c>
      <c r="H29" s="28">
        <v>3500450276</v>
      </c>
      <c r="I29" s="7"/>
      <c r="J29" s="28"/>
      <c r="K29" s="28"/>
      <c r="L29" s="28"/>
      <c r="M29" s="43"/>
      <c r="N29" s="43"/>
      <c r="O29" s="43"/>
      <c r="P29" s="43"/>
      <c r="Q29" s="157" t="s">
        <v>467</v>
      </c>
      <c r="R29" s="165" t="s">
        <v>500</v>
      </c>
    </row>
    <row r="30" spans="1:18" ht="55.2" customHeight="1" x14ac:dyDescent="0.3">
      <c r="A30" s="40">
        <v>19</v>
      </c>
      <c r="B30" s="52" t="s">
        <v>501</v>
      </c>
      <c r="C30" s="40"/>
      <c r="D30" s="40" t="s">
        <v>3</v>
      </c>
      <c r="E30" s="34">
        <v>1500</v>
      </c>
      <c r="F30" s="34">
        <v>1260</v>
      </c>
      <c r="G30" s="35">
        <f t="shared" si="0"/>
        <v>0</v>
      </c>
      <c r="H30" s="28">
        <v>3500397231</v>
      </c>
      <c r="I30" s="7"/>
      <c r="J30" s="28"/>
      <c r="K30" s="28"/>
      <c r="L30" s="28"/>
      <c r="M30" s="43"/>
      <c r="N30" s="43"/>
      <c r="O30" s="43"/>
      <c r="P30" s="43"/>
      <c r="Q30" s="157" t="s">
        <v>468</v>
      </c>
      <c r="R30" s="157" t="s">
        <v>502</v>
      </c>
    </row>
    <row r="31" spans="1:18" ht="55.2" customHeight="1" x14ac:dyDescent="0.3">
      <c r="A31" s="40">
        <v>20</v>
      </c>
      <c r="B31" s="52" t="s">
        <v>503</v>
      </c>
      <c r="C31" s="40"/>
      <c r="D31" s="40" t="s">
        <v>3</v>
      </c>
      <c r="E31" s="34">
        <v>3500</v>
      </c>
      <c r="F31" s="34">
        <v>0</v>
      </c>
      <c r="G31" s="35">
        <f t="shared" si="0"/>
        <v>0</v>
      </c>
      <c r="H31" s="37"/>
      <c r="I31" s="176"/>
      <c r="J31" s="28"/>
      <c r="K31" s="28"/>
      <c r="L31" s="28"/>
      <c r="M31" s="43"/>
      <c r="N31" s="43"/>
      <c r="O31" s="43"/>
      <c r="P31" s="43"/>
      <c r="Q31" s="160" t="s">
        <v>504</v>
      </c>
      <c r="R31" s="160" t="s">
        <v>505</v>
      </c>
    </row>
    <row r="32" spans="1:18" ht="55.2" customHeight="1" x14ac:dyDescent="0.3">
      <c r="A32" s="40">
        <v>21</v>
      </c>
      <c r="B32" s="52" t="s">
        <v>262</v>
      </c>
      <c r="C32" s="40"/>
      <c r="D32" s="40" t="s">
        <v>3</v>
      </c>
      <c r="E32" s="34">
        <v>0</v>
      </c>
      <c r="F32" s="34">
        <v>184</v>
      </c>
      <c r="G32" s="35">
        <f t="shared" si="0"/>
        <v>0</v>
      </c>
      <c r="H32" s="28">
        <v>3500450276</v>
      </c>
      <c r="I32" s="7"/>
      <c r="J32" s="28"/>
      <c r="K32" s="28"/>
      <c r="L32" s="28"/>
      <c r="M32" s="43"/>
      <c r="N32" s="43"/>
      <c r="O32" s="43"/>
      <c r="P32" s="43"/>
      <c r="Q32" s="157"/>
      <c r="R32" s="157"/>
    </row>
    <row r="33" spans="1:18" ht="55.2" customHeight="1" x14ac:dyDescent="0.3">
      <c r="A33" s="40">
        <v>22</v>
      </c>
      <c r="B33" s="52" t="s">
        <v>374</v>
      </c>
      <c r="C33" s="28"/>
      <c r="D33" s="28" t="s">
        <v>3</v>
      </c>
      <c r="E33" s="37">
        <v>150</v>
      </c>
      <c r="F33" s="34">
        <v>402</v>
      </c>
      <c r="G33" s="35">
        <f t="shared" si="0"/>
        <v>0</v>
      </c>
      <c r="H33" s="28"/>
      <c r="I33" s="7"/>
      <c r="J33" s="28"/>
      <c r="K33" s="28"/>
      <c r="L33" s="28"/>
      <c r="M33" s="43"/>
      <c r="N33" s="43"/>
      <c r="O33" s="43"/>
      <c r="P33" s="43"/>
      <c r="Q33" s="160" t="s">
        <v>506</v>
      </c>
      <c r="R33" s="160" t="s">
        <v>507</v>
      </c>
    </row>
    <row r="34" spans="1:18" ht="55.2" customHeight="1" x14ac:dyDescent="0.3">
      <c r="A34" s="40">
        <v>23</v>
      </c>
      <c r="B34" s="52" t="s">
        <v>227</v>
      </c>
      <c r="C34" s="40"/>
      <c r="D34" s="40" t="s">
        <v>3</v>
      </c>
      <c r="E34" s="34">
        <v>0</v>
      </c>
      <c r="F34" s="34">
        <v>276</v>
      </c>
      <c r="G34" s="35">
        <f t="shared" si="0"/>
        <v>0</v>
      </c>
      <c r="H34" s="28">
        <v>3500397231</v>
      </c>
      <c r="I34" s="7"/>
      <c r="J34" s="28"/>
      <c r="K34" s="28"/>
      <c r="L34" s="28"/>
      <c r="M34" s="43"/>
      <c r="N34" s="43"/>
      <c r="O34" s="43"/>
      <c r="P34" s="43"/>
      <c r="Q34" s="43"/>
      <c r="R34" s="43"/>
    </row>
    <row r="35" spans="1:18" ht="55.2" customHeight="1" x14ac:dyDescent="0.3">
      <c r="A35" s="40">
        <v>24</v>
      </c>
      <c r="B35" s="52" t="s">
        <v>263</v>
      </c>
      <c r="C35" s="40"/>
      <c r="D35" s="40" t="s">
        <v>3</v>
      </c>
      <c r="E35" s="37">
        <v>0</v>
      </c>
      <c r="F35" s="37">
        <v>92</v>
      </c>
      <c r="G35" s="35">
        <f t="shared" si="0"/>
        <v>0</v>
      </c>
      <c r="H35" s="28">
        <v>3500397231</v>
      </c>
      <c r="I35" s="7"/>
      <c r="J35" s="28"/>
      <c r="K35" s="28"/>
      <c r="L35" s="28"/>
      <c r="M35" s="43"/>
      <c r="N35" s="43"/>
      <c r="O35" s="43"/>
      <c r="P35" s="43"/>
      <c r="Q35" s="43"/>
      <c r="R35" s="43"/>
    </row>
    <row r="36" spans="1:18" ht="55.2" customHeight="1" x14ac:dyDescent="0.3">
      <c r="A36" s="40">
        <v>25</v>
      </c>
      <c r="B36" s="52" t="s">
        <v>229</v>
      </c>
      <c r="C36" s="40"/>
      <c r="D36" s="40" t="s">
        <v>2</v>
      </c>
      <c r="E36" s="34">
        <v>600</v>
      </c>
      <c r="F36" s="34">
        <v>4000</v>
      </c>
      <c r="G36" s="35">
        <f t="shared" si="0"/>
        <v>0</v>
      </c>
      <c r="H36" s="28">
        <v>3500458281</v>
      </c>
      <c r="I36" s="7"/>
      <c r="J36" s="28"/>
      <c r="K36" s="28"/>
      <c r="L36" s="28">
        <f>(ROUNDUP(C36*1/15.5,0)*6000)+(ROUNDUP(C36*1/7,0)*2144)</f>
        <v>0</v>
      </c>
      <c r="M36" s="43"/>
      <c r="N36" s="43"/>
      <c r="O36" s="43"/>
      <c r="P36" s="43"/>
      <c r="Q36" s="160" t="s">
        <v>469</v>
      </c>
      <c r="R36" s="160" t="s">
        <v>508</v>
      </c>
    </row>
    <row r="37" spans="1:18" ht="55.2" customHeight="1" x14ac:dyDescent="0.3">
      <c r="A37" s="40">
        <v>26</v>
      </c>
      <c r="B37" s="52" t="s">
        <v>230</v>
      </c>
      <c r="C37" s="40"/>
      <c r="D37" s="40" t="s">
        <v>2</v>
      </c>
      <c r="E37" s="34">
        <v>1650</v>
      </c>
      <c r="F37" s="34">
        <v>0</v>
      </c>
      <c r="G37" s="35">
        <f t="shared" si="0"/>
        <v>0</v>
      </c>
      <c r="H37" s="28"/>
      <c r="I37" s="7"/>
      <c r="J37" s="28"/>
      <c r="K37" s="28"/>
      <c r="L37" s="28">
        <f>ROUNDUP(C37*1.2/Q37,0)*R37</f>
        <v>0</v>
      </c>
      <c r="M37" s="43"/>
      <c r="N37" s="43"/>
      <c r="O37" s="43"/>
      <c r="P37" s="43"/>
      <c r="Q37" s="157">
        <v>20</v>
      </c>
      <c r="R37" s="157">
        <v>3400</v>
      </c>
    </row>
    <row r="38" spans="1:18" ht="55.2" customHeight="1" x14ac:dyDescent="0.3">
      <c r="A38" s="40">
        <v>27</v>
      </c>
      <c r="B38" s="52" t="s">
        <v>517</v>
      </c>
      <c r="C38" s="40"/>
      <c r="D38" s="40" t="s">
        <v>2</v>
      </c>
      <c r="E38" s="34">
        <v>300</v>
      </c>
      <c r="F38" s="34">
        <v>0</v>
      </c>
      <c r="G38" s="35">
        <f t="shared" si="0"/>
        <v>0</v>
      </c>
      <c r="H38" s="28"/>
      <c r="I38" s="7"/>
      <c r="J38" s="28"/>
      <c r="K38" s="28"/>
      <c r="L38" s="28"/>
      <c r="M38" s="43"/>
      <c r="N38" s="43"/>
      <c r="O38" s="43"/>
      <c r="P38" s="43"/>
      <c r="Q38" s="157" t="s">
        <v>520</v>
      </c>
      <c r="R38" s="157" t="s">
        <v>521</v>
      </c>
    </row>
    <row r="39" spans="1:18" ht="55.2" customHeight="1" x14ac:dyDescent="0.3">
      <c r="A39" s="40">
        <v>28</v>
      </c>
      <c r="B39" s="52" t="s">
        <v>518</v>
      </c>
      <c r="C39" s="40"/>
      <c r="D39" s="40" t="s">
        <v>2</v>
      </c>
      <c r="E39" s="34"/>
      <c r="F39" s="34"/>
      <c r="G39" s="35">
        <f t="shared" si="0"/>
        <v>0</v>
      </c>
      <c r="H39" s="28"/>
      <c r="I39" s="7"/>
      <c r="J39" s="28"/>
      <c r="K39" s="28"/>
      <c r="L39" s="28"/>
      <c r="M39" s="43"/>
      <c r="N39" s="43"/>
      <c r="O39" s="43"/>
      <c r="P39" s="43"/>
      <c r="Q39" s="157" t="s">
        <v>520</v>
      </c>
      <c r="R39" s="157" t="s">
        <v>522</v>
      </c>
    </row>
    <row r="40" spans="1:18" ht="55.2" customHeight="1" x14ac:dyDescent="0.3">
      <c r="A40" s="40">
        <v>29</v>
      </c>
      <c r="B40" s="52" t="s">
        <v>519</v>
      </c>
      <c r="C40" s="40"/>
      <c r="D40" s="40" t="s">
        <v>2</v>
      </c>
      <c r="E40" s="34"/>
      <c r="F40" s="34"/>
      <c r="G40" s="35">
        <f t="shared" si="0"/>
        <v>0</v>
      </c>
      <c r="H40" s="28"/>
      <c r="I40" s="7"/>
      <c r="J40" s="28"/>
      <c r="K40" s="28"/>
      <c r="L40" s="28"/>
      <c r="M40" s="43"/>
      <c r="N40" s="43"/>
      <c r="O40" s="43"/>
      <c r="P40" s="43"/>
      <c r="Q40" s="157" t="s">
        <v>520</v>
      </c>
      <c r="R40" s="157" t="s">
        <v>523</v>
      </c>
    </row>
    <row r="41" spans="1:18" ht="55.2" customHeight="1" x14ac:dyDescent="0.3">
      <c r="A41" s="40">
        <v>30</v>
      </c>
      <c r="B41" s="52" t="s">
        <v>264</v>
      </c>
      <c r="C41" s="40"/>
      <c r="D41" s="40" t="s">
        <v>13</v>
      </c>
      <c r="E41" s="34">
        <v>15</v>
      </c>
      <c r="F41" s="34">
        <v>80</v>
      </c>
      <c r="G41" s="35">
        <f t="shared" si="0"/>
        <v>0</v>
      </c>
      <c r="H41" s="28">
        <v>3500463562</v>
      </c>
      <c r="I41" s="7"/>
      <c r="J41" s="28"/>
      <c r="K41" s="28"/>
      <c r="L41" s="28"/>
      <c r="M41" s="43"/>
      <c r="N41" s="160"/>
      <c r="O41" s="160"/>
      <c r="P41" s="160"/>
      <c r="Q41" s="157" t="s">
        <v>510</v>
      </c>
      <c r="R41" s="157" t="s">
        <v>509</v>
      </c>
    </row>
    <row r="42" spans="1:18" ht="55.2" customHeight="1" x14ac:dyDescent="0.3">
      <c r="A42" s="40">
        <v>31</v>
      </c>
      <c r="B42" s="52" t="s">
        <v>233</v>
      </c>
      <c r="C42" s="40"/>
      <c r="D42" s="40" t="s">
        <v>7</v>
      </c>
      <c r="E42" s="34">
        <v>75</v>
      </c>
      <c r="F42" s="34">
        <v>155</v>
      </c>
      <c r="G42" s="35">
        <f t="shared" si="0"/>
        <v>0</v>
      </c>
      <c r="H42" s="28">
        <v>3500363493</v>
      </c>
      <c r="I42" s="7"/>
      <c r="J42" s="28"/>
      <c r="K42" s="28"/>
      <c r="L42" s="28"/>
      <c r="M42" s="43"/>
      <c r="N42" s="43"/>
      <c r="O42" s="43"/>
      <c r="P42" s="43"/>
      <c r="Q42" s="160" t="s">
        <v>470</v>
      </c>
      <c r="R42" s="160" t="s">
        <v>511</v>
      </c>
    </row>
    <row r="43" spans="1:18" ht="55.2" customHeight="1" x14ac:dyDescent="0.3">
      <c r="A43" s="40">
        <v>32</v>
      </c>
      <c r="B43" s="52" t="s">
        <v>265</v>
      </c>
      <c r="C43" s="40"/>
      <c r="D43" s="40" t="s">
        <v>2</v>
      </c>
      <c r="E43" s="34">
        <v>4000</v>
      </c>
      <c r="F43" s="34">
        <v>0</v>
      </c>
      <c r="G43" s="35">
        <f t="shared" si="0"/>
        <v>0</v>
      </c>
      <c r="H43" s="28"/>
      <c r="I43" s="7"/>
      <c r="J43" s="28"/>
      <c r="K43" s="28"/>
      <c r="L43" s="28">
        <f>ROUNDUP(C43*2.5/Q43,0)*R43</f>
        <v>0</v>
      </c>
      <c r="M43" s="43"/>
      <c r="N43" s="43"/>
      <c r="O43" s="43"/>
      <c r="P43" s="43"/>
      <c r="Q43" s="157">
        <v>21</v>
      </c>
      <c r="R43" s="168">
        <v>5000</v>
      </c>
    </row>
    <row r="44" spans="1:18" ht="55.2" customHeight="1" x14ac:dyDescent="0.3">
      <c r="A44" s="40">
        <v>33</v>
      </c>
      <c r="B44" s="52" t="s">
        <v>234</v>
      </c>
      <c r="C44" s="40"/>
      <c r="D44" s="40" t="s">
        <v>2</v>
      </c>
      <c r="E44" s="34">
        <v>380</v>
      </c>
      <c r="F44" s="34">
        <v>1000</v>
      </c>
      <c r="G44" s="35">
        <f t="shared" si="0"/>
        <v>0</v>
      </c>
      <c r="H44" s="28">
        <v>3500450276</v>
      </c>
      <c r="I44" s="7"/>
      <c r="J44" s="28"/>
      <c r="K44" s="28"/>
      <c r="L44" s="28">
        <f>ROUNDUP(C44*0.1/11,0)*3800+ROUNDUP(C44*0.2/20,0)*3000</f>
        <v>0</v>
      </c>
      <c r="M44" s="43"/>
      <c r="N44" s="43"/>
      <c r="O44" s="43"/>
      <c r="P44" s="43"/>
      <c r="Q44" s="160" t="s">
        <v>471</v>
      </c>
      <c r="R44" s="160" t="s">
        <v>512</v>
      </c>
    </row>
    <row r="45" spans="1:18" ht="55.2" customHeight="1" x14ac:dyDescent="0.3">
      <c r="A45" s="40">
        <v>34</v>
      </c>
      <c r="B45" s="52" t="s">
        <v>235</v>
      </c>
      <c r="C45" s="40"/>
      <c r="D45" s="40" t="s">
        <v>2</v>
      </c>
      <c r="E45" s="34">
        <v>380</v>
      </c>
      <c r="F45" s="34">
        <v>1000</v>
      </c>
      <c r="G45" s="35">
        <f t="shared" si="0"/>
        <v>0</v>
      </c>
      <c r="H45" s="28">
        <v>3500458281</v>
      </c>
      <c r="I45" s="7"/>
      <c r="J45" s="28"/>
      <c r="K45" s="28"/>
      <c r="L45" s="28"/>
      <c r="M45" s="43"/>
      <c r="N45" s="43"/>
      <c r="O45" s="43"/>
      <c r="P45" s="43"/>
      <c r="Q45" s="157" t="s">
        <v>513</v>
      </c>
      <c r="R45" s="157" t="s">
        <v>514</v>
      </c>
    </row>
    <row r="46" spans="1:18" ht="55.2" customHeight="1" x14ac:dyDescent="0.3">
      <c r="A46" s="40">
        <v>35</v>
      </c>
      <c r="B46" s="52" t="s">
        <v>236</v>
      </c>
      <c r="C46" s="40"/>
      <c r="D46" s="40" t="s">
        <v>2</v>
      </c>
      <c r="E46" s="34">
        <v>650</v>
      </c>
      <c r="F46" s="34">
        <v>1650</v>
      </c>
      <c r="G46" s="35">
        <f t="shared" si="0"/>
        <v>0</v>
      </c>
      <c r="H46" s="28">
        <v>3500458281</v>
      </c>
      <c r="I46" s="7"/>
      <c r="J46" s="28"/>
      <c r="K46" s="28"/>
      <c r="L46" s="28">
        <f>ROUNDUP(C46*2.5/(12.3+12.6),0)*3800</f>
        <v>0</v>
      </c>
      <c r="M46" s="43"/>
      <c r="N46" s="43"/>
      <c r="O46" s="43"/>
      <c r="P46" s="43"/>
      <c r="Q46" s="157" t="s">
        <v>515</v>
      </c>
      <c r="R46" s="157" t="s">
        <v>516</v>
      </c>
    </row>
    <row r="47" spans="1:18" ht="55.2" customHeight="1" x14ac:dyDescent="0.3">
      <c r="A47" s="40">
        <v>36</v>
      </c>
      <c r="B47" s="52" t="s">
        <v>237</v>
      </c>
      <c r="C47" s="40"/>
      <c r="D47" s="40" t="s">
        <v>2</v>
      </c>
      <c r="E47" s="37">
        <v>400</v>
      </c>
      <c r="F47" s="34">
        <v>1440</v>
      </c>
      <c r="G47" s="35">
        <f t="shared" si="0"/>
        <v>0</v>
      </c>
      <c r="H47" s="28">
        <v>3500458281</v>
      </c>
      <c r="I47" s="7"/>
      <c r="J47" s="28"/>
      <c r="K47" s="28"/>
      <c r="L47" s="28">
        <f>ROUNDUP(C47*0.4/Q47,0)*R47</f>
        <v>0</v>
      </c>
      <c r="M47" s="43"/>
      <c r="N47" s="43"/>
      <c r="O47" s="43"/>
      <c r="P47" s="43"/>
      <c r="Q47" s="168">
        <v>16</v>
      </c>
      <c r="R47" s="157">
        <v>5200</v>
      </c>
    </row>
    <row r="48" spans="1:18" ht="55.2" customHeight="1" x14ac:dyDescent="0.3">
      <c r="A48" s="40">
        <v>37</v>
      </c>
      <c r="B48" s="52" t="s">
        <v>238</v>
      </c>
      <c r="C48" s="40"/>
      <c r="D48" s="40" t="s">
        <v>2</v>
      </c>
      <c r="E48" s="34">
        <v>1500</v>
      </c>
      <c r="F48" s="34">
        <v>0</v>
      </c>
      <c r="G48" s="35">
        <f t="shared" si="0"/>
        <v>0</v>
      </c>
      <c r="H48" s="28"/>
      <c r="I48" s="7"/>
      <c r="J48" s="28"/>
      <c r="K48" s="28"/>
      <c r="L48" s="28">
        <f>ROUNDUP(C48*2/(17+17),0)*3800</f>
        <v>0</v>
      </c>
      <c r="M48" s="43"/>
      <c r="N48" s="43"/>
      <c r="O48" s="43"/>
      <c r="P48" s="43"/>
      <c r="Q48" s="160" t="s">
        <v>473</v>
      </c>
      <c r="R48" s="157" t="s">
        <v>472</v>
      </c>
    </row>
    <row r="49" spans="1:18" ht="55.2" customHeight="1" x14ac:dyDescent="0.3">
      <c r="A49" s="40">
        <v>38</v>
      </c>
      <c r="B49" s="52" t="s">
        <v>266</v>
      </c>
      <c r="C49" s="40"/>
      <c r="D49" s="40" t="s">
        <v>2</v>
      </c>
      <c r="E49" s="37">
        <v>285</v>
      </c>
      <c r="F49" s="34">
        <v>1095</v>
      </c>
      <c r="G49" s="35">
        <f t="shared" si="0"/>
        <v>0</v>
      </c>
      <c r="H49" s="28">
        <v>3500394264</v>
      </c>
      <c r="I49" s="7"/>
      <c r="J49" s="28"/>
      <c r="K49" s="28"/>
      <c r="L49" s="28">
        <f>ROUNDUP(C49*2.5/Q49,0)*R49</f>
        <v>0</v>
      </c>
      <c r="M49" s="43"/>
      <c r="N49" s="43"/>
      <c r="O49" s="43"/>
      <c r="P49" s="43"/>
      <c r="Q49" s="168">
        <v>25</v>
      </c>
      <c r="R49" s="157">
        <v>2700</v>
      </c>
    </row>
    <row r="50" spans="1:18" ht="55.2" customHeight="1" x14ac:dyDescent="0.3">
      <c r="A50" s="40">
        <v>39</v>
      </c>
      <c r="B50" s="52" t="s">
        <v>239</v>
      </c>
      <c r="C50" s="40"/>
      <c r="D50" s="40" t="s">
        <v>6</v>
      </c>
      <c r="E50" s="37">
        <v>100</v>
      </c>
      <c r="F50" s="34">
        <v>1280</v>
      </c>
      <c r="G50" s="35">
        <f t="shared" si="0"/>
        <v>0</v>
      </c>
      <c r="H50" s="28">
        <v>3500450275</v>
      </c>
      <c r="I50" s="7"/>
      <c r="J50" s="28"/>
      <c r="K50" s="28"/>
      <c r="L50" s="28"/>
      <c r="M50" s="43"/>
      <c r="N50" s="43"/>
      <c r="O50" s="43"/>
      <c r="P50" s="43"/>
      <c r="Q50" s="43"/>
      <c r="R50" s="43"/>
    </row>
    <row r="51" spans="1:18" ht="55.2" customHeight="1" x14ac:dyDescent="0.3">
      <c r="A51" s="40">
        <v>40</v>
      </c>
      <c r="B51" s="52" t="s">
        <v>240</v>
      </c>
      <c r="C51" s="40"/>
      <c r="D51" s="40" t="s">
        <v>7</v>
      </c>
      <c r="E51" s="37">
        <v>250</v>
      </c>
      <c r="F51" s="34">
        <v>0</v>
      </c>
      <c r="G51" s="35">
        <f t="shared" si="0"/>
        <v>0</v>
      </c>
      <c r="H51" s="28"/>
      <c r="I51" s="7"/>
      <c r="J51" s="28"/>
      <c r="K51" s="28"/>
      <c r="L51" s="28"/>
      <c r="M51" s="43"/>
      <c r="N51" s="43"/>
      <c r="O51" s="43"/>
      <c r="P51" s="43"/>
      <c r="Q51" s="43"/>
      <c r="R51" s="43"/>
    </row>
    <row r="52" spans="1:18" ht="55.2" customHeight="1" x14ac:dyDescent="0.3">
      <c r="A52" s="40">
        <v>41</v>
      </c>
      <c r="B52" s="52" t="s">
        <v>241</v>
      </c>
      <c r="C52" s="40"/>
      <c r="D52" s="40" t="s">
        <v>6</v>
      </c>
      <c r="E52" s="37">
        <v>100</v>
      </c>
      <c r="F52" s="34">
        <v>1280</v>
      </c>
      <c r="G52" s="35">
        <f t="shared" si="0"/>
        <v>0</v>
      </c>
      <c r="H52" s="28">
        <v>3500450275</v>
      </c>
      <c r="I52" s="7"/>
      <c r="J52" s="28"/>
      <c r="K52" s="28"/>
      <c r="L52" s="28"/>
      <c r="M52" s="43"/>
      <c r="N52" s="43"/>
      <c r="O52" s="43"/>
      <c r="P52" s="43"/>
      <c r="Q52" s="43"/>
      <c r="R52" s="43"/>
    </row>
    <row r="53" spans="1:18" ht="55.2" customHeight="1" x14ac:dyDescent="0.3">
      <c r="A53" s="40">
        <v>42</v>
      </c>
      <c r="B53" s="52" t="s">
        <v>242</v>
      </c>
      <c r="C53" s="40"/>
      <c r="D53" s="40" t="s">
        <v>7</v>
      </c>
      <c r="E53" s="37">
        <v>250</v>
      </c>
      <c r="F53" s="34">
        <v>0</v>
      </c>
      <c r="G53" s="35">
        <f t="shared" si="0"/>
        <v>0</v>
      </c>
      <c r="H53" s="28"/>
      <c r="I53" s="7"/>
      <c r="J53" s="28"/>
      <c r="K53" s="28"/>
      <c r="L53" s="28"/>
      <c r="M53" s="43"/>
      <c r="N53" s="43"/>
      <c r="O53" s="43"/>
      <c r="P53" s="43"/>
      <c r="Q53" s="43"/>
      <c r="R53" s="43"/>
    </row>
    <row r="54" spans="1:18" ht="55.2" customHeight="1" x14ac:dyDescent="0.3">
      <c r="A54" s="40">
        <v>43</v>
      </c>
      <c r="B54" s="52" t="s">
        <v>267</v>
      </c>
      <c r="C54" s="40"/>
      <c r="D54" s="40" t="s">
        <v>3</v>
      </c>
      <c r="E54" s="37">
        <v>110</v>
      </c>
      <c r="F54" s="34">
        <v>800</v>
      </c>
      <c r="G54" s="35">
        <f t="shared" si="0"/>
        <v>0</v>
      </c>
      <c r="H54" s="28">
        <v>3500434960</v>
      </c>
      <c r="I54" s="7"/>
      <c r="J54" s="28"/>
      <c r="K54" s="28"/>
      <c r="L54" s="28"/>
      <c r="M54" s="43"/>
      <c r="N54" s="43"/>
      <c r="O54" s="43"/>
      <c r="P54" s="43"/>
      <c r="Q54" s="157">
        <v>5</v>
      </c>
      <c r="R54" s="157">
        <v>316</v>
      </c>
    </row>
    <row r="55" spans="1:18" ht="55.2" customHeight="1" x14ac:dyDescent="0.3">
      <c r="A55" s="40">
        <v>44</v>
      </c>
      <c r="B55" s="52" t="s">
        <v>268</v>
      </c>
      <c r="C55" s="40"/>
      <c r="D55" s="40" t="s">
        <v>3</v>
      </c>
      <c r="E55" s="37">
        <v>150</v>
      </c>
      <c r="F55" s="34">
        <v>770</v>
      </c>
      <c r="G55" s="35">
        <f t="shared" si="0"/>
        <v>0</v>
      </c>
      <c r="H55" s="28">
        <v>3500458281</v>
      </c>
      <c r="I55" s="7"/>
      <c r="J55" s="28"/>
      <c r="K55" s="28"/>
      <c r="L55" s="28">
        <f>ROUNDUP(C55*145/Q55,0)*R55</f>
        <v>0</v>
      </c>
      <c r="M55" s="43"/>
      <c r="N55" s="43"/>
      <c r="O55" s="43"/>
      <c r="P55" s="43"/>
      <c r="Q55" s="157">
        <v>600</v>
      </c>
      <c r="R55" s="157">
        <v>200</v>
      </c>
    </row>
    <row r="56" spans="1:18" ht="55.2" customHeight="1" x14ac:dyDescent="0.3">
      <c r="A56" s="40">
        <v>45</v>
      </c>
      <c r="B56" s="52" t="s">
        <v>524</v>
      </c>
      <c r="C56" s="40"/>
      <c r="D56" s="40" t="s">
        <v>5</v>
      </c>
      <c r="E56" s="34">
        <v>2700</v>
      </c>
      <c r="F56" s="34">
        <v>3000</v>
      </c>
      <c r="G56" s="35">
        <f t="shared" si="0"/>
        <v>0</v>
      </c>
      <c r="H56" s="28">
        <v>3500463562</v>
      </c>
      <c r="I56" s="7"/>
      <c r="J56" s="28"/>
      <c r="K56" s="28"/>
      <c r="L56" s="28"/>
      <c r="M56" s="43"/>
      <c r="N56" s="43"/>
      <c r="O56" s="43"/>
      <c r="P56" s="43"/>
      <c r="Q56" s="157">
        <v>1</v>
      </c>
      <c r="R56" s="157">
        <v>572</v>
      </c>
    </row>
    <row r="57" spans="1:18" ht="55.2" customHeight="1" x14ac:dyDescent="0.3">
      <c r="A57" s="40">
        <v>46</v>
      </c>
      <c r="B57" s="82" t="s">
        <v>67</v>
      </c>
      <c r="C57" s="40"/>
      <c r="D57" s="40" t="s">
        <v>5</v>
      </c>
      <c r="E57" s="34">
        <v>1550</v>
      </c>
      <c r="F57" s="34">
        <v>3000</v>
      </c>
      <c r="G57" s="35">
        <f t="shared" si="0"/>
        <v>0</v>
      </c>
      <c r="H57" s="28">
        <v>3500434960</v>
      </c>
      <c r="I57" s="7"/>
      <c r="J57" s="28"/>
      <c r="K57" s="28"/>
      <c r="L57" s="28"/>
      <c r="M57" s="43"/>
      <c r="N57" s="43"/>
      <c r="O57" s="43"/>
      <c r="P57" s="43"/>
      <c r="Q57" s="43"/>
      <c r="R57" s="43"/>
    </row>
    <row r="58" spans="1:18" ht="55.2" customHeight="1" x14ac:dyDescent="0.3">
      <c r="A58" s="40">
        <v>47</v>
      </c>
      <c r="B58" s="36" t="s">
        <v>243</v>
      </c>
      <c r="C58" s="40"/>
      <c r="D58" s="40" t="s">
        <v>5</v>
      </c>
      <c r="E58" s="34">
        <v>1500</v>
      </c>
      <c r="F58" s="34">
        <v>0</v>
      </c>
      <c r="G58" s="35">
        <f t="shared" si="0"/>
        <v>0</v>
      </c>
      <c r="H58" s="28"/>
      <c r="I58" s="7"/>
      <c r="J58" s="28"/>
      <c r="K58" s="28"/>
      <c r="L58" s="28"/>
      <c r="M58" s="43"/>
      <c r="N58" s="43"/>
      <c r="O58" s="43"/>
      <c r="P58" s="43"/>
      <c r="Q58" s="157">
        <v>1</v>
      </c>
      <c r="R58" s="157">
        <v>750</v>
      </c>
    </row>
    <row r="59" spans="1:18" ht="55.2" customHeight="1" x14ac:dyDescent="0.3">
      <c r="A59" s="40">
        <v>48</v>
      </c>
      <c r="B59" s="81" t="s">
        <v>68</v>
      </c>
      <c r="C59" s="40"/>
      <c r="D59" s="40" t="s">
        <v>5</v>
      </c>
      <c r="E59" s="34">
        <v>100</v>
      </c>
      <c r="F59" s="34">
        <v>452</v>
      </c>
      <c r="G59" s="35">
        <f t="shared" si="0"/>
        <v>0</v>
      </c>
      <c r="H59" s="28">
        <v>3500363493</v>
      </c>
      <c r="I59" s="7"/>
      <c r="J59" s="28"/>
      <c r="K59" s="28"/>
      <c r="L59" s="28"/>
      <c r="M59" s="43"/>
      <c r="N59" s="43"/>
      <c r="O59" s="43"/>
      <c r="P59" s="43"/>
      <c r="Q59" s="43"/>
      <c r="R59" s="43"/>
    </row>
    <row r="60" spans="1:18" ht="55.2" customHeight="1" x14ac:dyDescent="0.3">
      <c r="A60" s="40">
        <v>49</v>
      </c>
      <c r="B60" s="81" t="s">
        <v>288</v>
      </c>
      <c r="C60" s="40"/>
      <c r="D60" s="40" t="s">
        <v>2</v>
      </c>
      <c r="E60" s="37">
        <v>0</v>
      </c>
      <c r="F60" s="34">
        <v>920</v>
      </c>
      <c r="G60" s="35">
        <f t="shared" si="0"/>
        <v>0</v>
      </c>
      <c r="H60" s="92">
        <v>3500394264</v>
      </c>
      <c r="I60" s="177"/>
      <c r="J60" s="28"/>
      <c r="K60" s="28"/>
      <c r="L60" s="28"/>
      <c r="M60" s="43"/>
      <c r="N60" s="43"/>
      <c r="O60" s="43"/>
      <c r="P60" s="43"/>
      <c r="Q60" s="43"/>
      <c r="R60" s="43"/>
    </row>
    <row r="61" spans="1:18" ht="55.2" customHeight="1" x14ac:dyDescent="0.3">
      <c r="A61" s="40">
        <v>50</v>
      </c>
      <c r="B61" s="52" t="s">
        <v>270</v>
      </c>
      <c r="C61" s="40"/>
      <c r="D61" s="40" t="s">
        <v>2</v>
      </c>
      <c r="E61" s="37">
        <v>0</v>
      </c>
      <c r="F61" s="34">
        <v>2300</v>
      </c>
      <c r="G61" s="35">
        <f t="shared" si="0"/>
        <v>0</v>
      </c>
      <c r="H61" s="28">
        <v>3500397231</v>
      </c>
      <c r="I61" s="7"/>
      <c r="J61" s="28"/>
      <c r="K61" s="28"/>
      <c r="L61" s="28"/>
      <c r="M61" s="43"/>
      <c r="N61" s="43"/>
      <c r="O61" s="43"/>
      <c r="P61" s="43"/>
      <c r="Q61" s="43"/>
      <c r="R61" s="43"/>
    </row>
    <row r="62" spans="1:18" ht="55.2" customHeight="1" x14ac:dyDescent="0.3">
      <c r="A62" s="40">
        <v>51</v>
      </c>
      <c r="B62" s="52" t="s">
        <v>271</v>
      </c>
      <c r="C62" s="40"/>
      <c r="D62" s="40" t="s">
        <v>2</v>
      </c>
      <c r="E62" s="37">
        <v>0</v>
      </c>
      <c r="F62" s="34">
        <v>1000</v>
      </c>
      <c r="G62" s="35">
        <f t="shared" si="0"/>
        <v>0</v>
      </c>
      <c r="H62" s="28">
        <v>3500340177</v>
      </c>
      <c r="I62" s="7"/>
      <c r="J62" s="28"/>
      <c r="K62" s="28"/>
      <c r="L62" s="28"/>
      <c r="M62" s="43"/>
      <c r="N62" s="43"/>
      <c r="O62" s="43"/>
      <c r="P62" s="43"/>
      <c r="Q62" s="43"/>
      <c r="R62" s="43"/>
    </row>
    <row r="63" spans="1:18" ht="55.2" customHeight="1" x14ac:dyDescent="0.3">
      <c r="A63" s="40">
        <v>52</v>
      </c>
      <c r="B63" s="52" t="s">
        <v>272</v>
      </c>
      <c r="C63" s="40"/>
      <c r="D63" s="40" t="s">
        <v>7</v>
      </c>
      <c r="E63" s="37">
        <v>0</v>
      </c>
      <c r="F63" s="34">
        <v>5580</v>
      </c>
      <c r="G63" s="35">
        <f t="shared" si="0"/>
        <v>0</v>
      </c>
      <c r="H63" s="28">
        <v>3500353159</v>
      </c>
      <c r="I63" s="7"/>
      <c r="J63" s="28"/>
      <c r="K63" s="28"/>
      <c r="L63" s="28"/>
      <c r="M63" s="43"/>
      <c r="N63" s="43"/>
      <c r="O63" s="43"/>
      <c r="P63" s="43"/>
      <c r="Q63" s="43"/>
      <c r="R63" s="43"/>
    </row>
    <row r="64" spans="1:18" ht="55.2" customHeight="1" x14ac:dyDescent="0.3">
      <c r="A64" s="40">
        <v>53</v>
      </c>
      <c r="B64" s="81" t="s">
        <v>70</v>
      </c>
      <c r="C64" s="40"/>
      <c r="D64" s="40" t="s">
        <v>4</v>
      </c>
      <c r="E64" s="37">
        <v>40000</v>
      </c>
      <c r="F64" s="34">
        <v>0</v>
      </c>
      <c r="G64" s="35">
        <f t="shared" si="0"/>
        <v>0</v>
      </c>
      <c r="H64" s="28"/>
      <c r="I64" s="7"/>
      <c r="J64" s="28"/>
      <c r="K64" s="28"/>
      <c r="L64" s="28"/>
      <c r="M64" s="43"/>
      <c r="N64" s="43"/>
      <c r="O64" s="43"/>
      <c r="P64" s="43"/>
      <c r="Q64" s="43"/>
      <c r="R64" s="43"/>
    </row>
    <row r="65" spans="1:18" ht="55.2" customHeight="1" x14ac:dyDescent="0.3">
      <c r="A65" s="40">
        <v>54</v>
      </c>
      <c r="B65" s="52" t="s">
        <v>246</v>
      </c>
      <c r="C65" s="40"/>
      <c r="D65" s="40" t="s">
        <v>4</v>
      </c>
      <c r="E65" s="37">
        <v>55000</v>
      </c>
      <c r="F65" s="34">
        <v>0</v>
      </c>
      <c r="G65" s="35">
        <f t="shared" si="0"/>
        <v>0</v>
      </c>
      <c r="H65" s="28">
        <v>3500340177</v>
      </c>
      <c r="I65" s="7"/>
      <c r="J65" s="28"/>
      <c r="K65" s="28"/>
      <c r="L65" s="28"/>
      <c r="M65" s="43"/>
      <c r="N65" s="43"/>
      <c r="O65" s="43"/>
      <c r="P65" s="43"/>
      <c r="Q65" s="43"/>
      <c r="R65" s="43"/>
    </row>
    <row r="66" spans="1:18" ht="55.2" customHeight="1" x14ac:dyDescent="0.3">
      <c r="A66" s="40">
        <v>55</v>
      </c>
      <c r="B66" s="52" t="s">
        <v>273</v>
      </c>
      <c r="C66" s="40"/>
      <c r="D66" s="40" t="s">
        <v>4</v>
      </c>
      <c r="E66" s="37">
        <v>0</v>
      </c>
      <c r="F66" s="34">
        <v>2500</v>
      </c>
      <c r="G66" s="35">
        <f t="shared" si="0"/>
        <v>0</v>
      </c>
      <c r="H66" s="28">
        <v>3500340177</v>
      </c>
      <c r="I66" s="7"/>
      <c r="J66" s="28"/>
      <c r="K66" s="28"/>
      <c r="L66" s="28"/>
      <c r="M66" s="43"/>
      <c r="N66" s="43"/>
      <c r="O66" s="43"/>
      <c r="P66" s="43"/>
      <c r="Q66" s="43"/>
      <c r="R66" s="43"/>
    </row>
    <row r="67" spans="1:18" ht="55.2" customHeight="1" x14ac:dyDescent="0.3">
      <c r="A67" s="40">
        <v>56</v>
      </c>
      <c r="B67" s="52" t="s">
        <v>274</v>
      </c>
      <c r="C67" s="40"/>
      <c r="D67" s="40" t="s">
        <v>2</v>
      </c>
      <c r="E67" s="37">
        <v>0</v>
      </c>
      <c r="F67" s="34">
        <v>920</v>
      </c>
      <c r="G67" s="35">
        <f t="shared" si="0"/>
        <v>0</v>
      </c>
      <c r="H67" s="28">
        <v>3500458281</v>
      </c>
      <c r="I67" s="7"/>
      <c r="J67" s="28"/>
      <c r="K67" s="28"/>
      <c r="L67" s="28"/>
      <c r="M67" s="43"/>
      <c r="N67" s="43"/>
      <c r="O67" s="43"/>
      <c r="P67" s="43"/>
      <c r="Q67" s="43"/>
      <c r="R67" s="43"/>
    </row>
    <row r="68" spans="1:18" ht="55.2" customHeight="1" x14ac:dyDescent="0.3">
      <c r="A68" s="40">
        <v>57</v>
      </c>
      <c r="B68" s="52" t="s">
        <v>275</v>
      </c>
      <c r="C68" s="40"/>
      <c r="D68" s="40" t="s">
        <v>4</v>
      </c>
      <c r="E68" s="37">
        <v>15000</v>
      </c>
      <c r="F68" s="34">
        <v>0</v>
      </c>
      <c r="G68" s="35">
        <f t="shared" si="0"/>
        <v>0</v>
      </c>
      <c r="H68" s="28"/>
      <c r="I68" s="7"/>
      <c r="J68" s="28"/>
      <c r="K68" s="28"/>
      <c r="L68" s="28"/>
      <c r="M68" s="43"/>
      <c r="N68" s="43"/>
      <c r="O68" s="43"/>
      <c r="P68" s="43"/>
      <c r="Q68" s="43"/>
      <c r="R68" s="43"/>
    </row>
    <row r="69" spans="1:18" ht="55.2" customHeight="1" x14ac:dyDescent="0.3">
      <c r="A69" s="40">
        <v>58</v>
      </c>
      <c r="B69" s="52" t="s">
        <v>248</v>
      </c>
      <c r="C69" s="40"/>
      <c r="D69" s="40" t="s">
        <v>4</v>
      </c>
      <c r="E69" s="37">
        <v>30000</v>
      </c>
      <c r="F69" s="34">
        <v>0</v>
      </c>
      <c r="G69" s="35">
        <f t="shared" si="0"/>
        <v>0</v>
      </c>
      <c r="H69" s="28"/>
      <c r="I69" s="7"/>
      <c r="J69" s="28"/>
      <c r="K69" s="28"/>
      <c r="L69" s="28"/>
      <c r="M69" s="43"/>
      <c r="N69" s="43"/>
      <c r="O69" s="43"/>
      <c r="P69" s="43"/>
      <c r="Q69" s="43"/>
      <c r="R69" s="43"/>
    </row>
    <row r="70" spans="1:18" ht="55.2" customHeight="1" x14ac:dyDescent="0.3">
      <c r="A70" s="40">
        <v>59</v>
      </c>
      <c r="B70" s="52" t="s">
        <v>249</v>
      </c>
      <c r="C70" s="40"/>
      <c r="D70" s="40" t="s">
        <v>4</v>
      </c>
      <c r="E70" s="37">
        <v>3000</v>
      </c>
      <c r="F70" s="34">
        <v>0</v>
      </c>
      <c r="G70" s="35">
        <f t="shared" si="0"/>
        <v>0</v>
      </c>
      <c r="H70" s="28"/>
      <c r="I70" s="7"/>
      <c r="J70" s="28"/>
      <c r="K70" s="28"/>
      <c r="L70" s="28"/>
      <c r="M70" s="43"/>
      <c r="N70" s="43"/>
      <c r="O70" s="43"/>
      <c r="P70" s="43"/>
      <c r="Q70" s="43"/>
      <c r="R70" s="43"/>
    </row>
    <row r="71" spans="1:18" ht="55.2" customHeight="1" x14ac:dyDescent="0.3">
      <c r="A71" s="40">
        <v>60</v>
      </c>
      <c r="B71" s="52" t="s">
        <v>276</v>
      </c>
      <c r="C71" s="40"/>
      <c r="D71" s="40" t="s">
        <v>2</v>
      </c>
      <c r="E71" s="37">
        <v>500</v>
      </c>
      <c r="F71" s="34">
        <v>1800</v>
      </c>
      <c r="G71" s="35">
        <f t="shared" si="0"/>
        <v>0</v>
      </c>
      <c r="H71" s="28">
        <v>3500458281</v>
      </c>
      <c r="I71" s="7"/>
      <c r="J71" s="28"/>
      <c r="K71" s="28"/>
      <c r="L71" s="28"/>
      <c r="M71" s="43"/>
      <c r="N71" s="43"/>
      <c r="O71" s="43"/>
      <c r="P71" s="43"/>
      <c r="Q71" s="43"/>
      <c r="R71" s="43"/>
    </row>
    <row r="72" spans="1:18" ht="55.2" customHeight="1" x14ac:dyDescent="0.3">
      <c r="A72" s="40">
        <v>61</v>
      </c>
      <c r="B72" s="52" t="s">
        <v>277</v>
      </c>
      <c r="C72" s="40"/>
      <c r="D72" s="40" t="s">
        <v>7</v>
      </c>
      <c r="E72" s="37">
        <v>515</v>
      </c>
      <c r="F72" s="34">
        <v>2061</v>
      </c>
      <c r="G72" s="35">
        <f t="shared" si="0"/>
        <v>0</v>
      </c>
      <c r="H72" s="28">
        <v>3500397231</v>
      </c>
      <c r="I72" s="7"/>
      <c r="J72" s="28"/>
      <c r="K72" s="28"/>
      <c r="L72" s="28"/>
      <c r="M72" s="43"/>
      <c r="N72" s="43"/>
      <c r="O72" s="43"/>
      <c r="P72" s="43"/>
      <c r="Q72" s="43"/>
      <c r="R72" s="43"/>
    </row>
    <row r="73" spans="1:18" ht="55.2" customHeight="1" x14ac:dyDescent="0.3">
      <c r="A73" s="40">
        <v>62</v>
      </c>
      <c r="B73" s="52" t="s">
        <v>278</v>
      </c>
      <c r="C73" s="28"/>
      <c r="D73" s="28" t="s">
        <v>4</v>
      </c>
      <c r="E73" s="37">
        <v>8000</v>
      </c>
      <c r="F73" s="34">
        <v>0</v>
      </c>
      <c r="G73" s="35">
        <f t="shared" si="0"/>
        <v>0</v>
      </c>
      <c r="H73" s="28"/>
      <c r="I73" s="7"/>
      <c r="J73" s="28"/>
      <c r="K73" s="28"/>
      <c r="L73" s="28"/>
      <c r="M73" s="43"/>
      <c r="N73" s="43"/>
      <c r="O73" s="43"/>
      <c r="P73" s="43"/>
      <c r="Q73" s="43"/>
      <c r="R73" s="43"/>
    </row>
    <row r="74" spans="1:18" ht="55.2" customHeight="1" x14ac:dyDescent="0.3">
      <c r="A74" s="40">
        <v>63</v>
      </c>
      <c r="B74" s="52" t="s">
        <v>279</v>
      </c>
      <c r="C74" s="28"/>
      <c r="D74" s="28" t="s">
        <v>3</v>
      </c>
      <c r="E74" s="37">
        <v>2000</v>
      </c>
      <c r="F74" s="34">
        <v>0</v>
      </c>
      <c r="G74" s="35">
        <f t="shared" si="0"/>
        <v>0</v>
      </c>
      <c r="H74" s="28"/>
      <c r="I74" s="7"/>
      <c r="J74" s="28"/>
      <c r="K74" s="28"/>
      <c r="L74" s="28"/>
      <c r="M74" s="43"/>
      <c r="N74" s="43"/>
      <c r="O74" s="43"/>
      <c r="P74" s="43"/>
      <c r="Q74" s="43"/>
      <c r="R74" s="43"/>
    </row>
    <row r="75" spans="1:18" ht="55.2" customHeight="1" x14ac:dyDescent="0.3">
      <c r="A75" s="40">
        <v>64</v>
      </c>
      <c r="B75" s="41" t="s">
        <v>280</v>
      </c>
      <c r="C75" s="40"/>
      <c r="D75" s="40" t="s">
        <v>289</v>
      </c>
      <c r="E75" s="34">
        <v>800</v>
      </c>
      <c r="F75" s="34">
        <v>0</v>
      </c>
      <c r="G75" s="35">
        <f t="shared" si="0"/>
        <v>0</v>
      </c>
      <c r="H75" s="28"/>
      <c r="I75" s="7"/>
      <c r="J75" s="28"/>
      <c r="K75" s="28"/>
      <c r="L75" s="28"/>
      <c r="M75" s="43"/>
      <c r="N75" s="43"/>
      <c r="O75" s="43"/>
      <c r="P75" s="43"/>
      <c r="Q75" s="43"/>
      <c r="R75" s="43"/>
    </row>
    <row r="76" spans="1:18" ht="55.2" customHeight="1" x14ac:dyDescent="0.3">
      <c r="A76" s="40">
        <v>65</v>
      </c>
      <c r="B76" s="41" t="s">
        <v>281</v>
      </c>
      <c r="C76" s="40"/>
      <c r="D76" s="40" t="s">
        <v>8</v>
      </c>
      <c r="E76" s="34">
        <v>2000</v>
      </c>
      <c r="F76" s="34">
        <v>0</v>
      </c>
      <c r="G76" s="35">
        <f t="shared" si="0"/>
        <v>0</v>
      </c>
      <c r="H76" s="28"/>
      <c r="I76" s="7"/>
      <c r="J76" s="28"/>
      <c r="K76" s="28"/>
      <c r="L76" s="28"/>
      <c r="M76" s="43"/>
      <c r="N76" s="43"/>
      <c r="O76" s="43"/>
      <c r="P76" s="43"/>
      <c r="Q76" s="43"/>
      <c r="R76" s="43"/>
    </row>
    <row r="77" spans="1:18" ht="55.2" customHeight="1" x14ac:dyDescent="0.3">
      <c r="A77" s="40">
        <v>66</v>
      </c>
      <c r="B77" s="41" t="s">
        <v>282</v>
      </c>
      <c r="C77" s="40"/>
      <c r="D77" s="40" t="s">
        <v>6</v>
      </c>
      <c r="E77" s="34">
        <v>100</v>
      </c>
      <c r="F77" s="34">
        <v>0</v>
      </c>
      <c r="G77" s="35">
        <f t="shared" si="0"/>
        <v>0</v>
      </c>
      <c r="H77" s="28"/>
      <c r="I77" s="7"/>
      <c r="J77" s="28"/>
      <c r="K77" s="28"/>
      <c r="L77" s="28"/>
      <c r="M77" s="43"/>
      <c r="N77" s="43"/>
      <c r="O77" s="43"/>
      <c r="P77" s="43"/>
      <c r="Q77" s="43"/>
      <c r="R77" s="43"/>
    </row>
    <row r="78" spans="1:18" ht="55.2" customHeight="1" x14ac:dyDescent="0.3">
      <c r="A78" s="40">
        <v>67</v>
      </c>
      <c r="B78" s="41" t="s">
        <v>283</v>
      </c>
      <c r="C78" s="40"/>
      <c r="D78" s="40" t="s">
        <v>8</v>
      </c>
      <c r="E78" s="34">
        <v>30000</v>
      </c>
      <c r="F78" s="34">
        <v>0</v>
      </c>
      <c r="G78" s="35">
        <f t="shared" si="0"/>
        <v>0</v>
      </c>
      <c r="H78" s="28"/>
      <c r="I78" s="7"/>
      <c r="J78" s="28"/>
      <c r="K78" s="28"/>
      <c r="L78" s="28"/>
      <c r="M78" s="43"/>
      <c r="N78" s="43"/>
      <c r="O78" s="43"/>
      <c r="P78" s="43"/>
      <c r="Q78" s="43"/>
      <c r="R78" s="43"/>
    </row>
    <row r="79" spans="1:18" ht="55.2" customHeight="1" x14ac:dyDescent="0.3">
      <c r="A79" s="40">
        <v>68</v>
      </c>
      <c r="B79" s="51" t="s">
        <v>284</v>
      </c>
      <c r="C79" s="28"/>
      <c r="D79" s="28" t="s">
        <v>9</v>
      </c>
      <c r="E79" s="37">
        <v>840</v>
      </c>
      <c r="F79" s="34">
        <v>1000</v>
      </c>
      <c r="G79" s="35">
        <f>C79*(E79+F79)</f>
        <v>0</v>
      </c>
      <c r="H79" s="28">
        <v>3500450276</v>
      </c>
      <c r="I79" s="7"/>
      <c r="J79" s="28"/>
      <c r="K79" s="28"/>
      <c r="L79" s="28"/>
      <c r="M79" s="43"/>
      <c r="N79" s="43"/>
      <c r="O79" s="43"/>
      <c r="P79" s="43"/>
      <c r="Q79" s="43"/>
      <c r="R79" s="43"/>
    </row>
    <row r="80" spans="1:18" ht="55.2" customHeight="1" x14ac:dyDescent="0.3">
      <c r="A80" s="40">
        <v>69</v>
      </c>
      <c r="B80" s="52" t="s">
        <v>285</v>
      </c>
      <c r="C80" s="28"/>
      <c r="D80" s="28" t="s">
        <v>9</v>
      </c>
      <c r="E80" s="34">
        <v>1000</v>
      </c>
      <c r="F80" s="34">
        <v>0</v>
      </c>
      <c r="G80" s="35">
        <f>C80*(E80+F80)</f>
        <v>0</v>
      </c>
      <c r="H80" s="28"/>
      <c r="I80" s="7"/>
      <c r="J80" s="28"/>
      <c r="K80" s="28"/>
      <c r="L80" s="28"/>
      <c r="M80" s="43"/>
      <c r="N80" s="43"/>
      <c r="O80" s="43"/>
      <c r="P80" s="43"/>
      <c r="Q80" s="43"/>
      <c r="R80" s="43"/>
    </row>
    <row r="81" spans="1:18" ht="87" x14ac:dyDescent="0.3">
      <c r="A81" s="40">
        <v>70</v>
      </c>
      <c r="B81" s="52" t="s">
        <v>286</v>
      </c>
      <c r="C81" s="28"/>
      <c r="D81" s="28" t="s">
        <v>11</v>
      </c>
      <c r="E81" s="37">
        <f>SUM(G12:G80)*0.1</f>
        <v>0</v>
      </c>
      <c r="F81" s="34">
        <v>0</v>
      </c>
      <c r="G81" s="35">
        <f>C81*(E81+F81)</f>
        <v>0</v>
      </c>
      <c r="H81" s="28"/>
      <c r="I81" s="7"/>
      <c r="J81" s="28"/>
      <c r="K81" s="28"/>
      <c r="L81" s="28"/>
      <c r="M81" s="43"/>
      <c r="N81" s="43"/>
      <c r="O81" s="43"/>
      <c r="P81" s="43"/>
      <c r="Q81" s="43"/>
      <c r="R81" s="43"/>
    </row>
    <row r="82" spans="1:18" ht="30" customHeight="1" x14ac:dyDescent="0.3">
      <c r="A82" s="28"/>
      <c r="B82" s="83" t="s">
        <v>16</v>
      </c>
      <c r="C82" s="28"/>
      <c r="D82" s="68"/>
      <c r="E82" s="68"/>
      <c r="F82" s="90" t="s">
        <v>12</v>
      </c>
      <c r="G82" s="91">
        <f>SUM(G14:G81)</f>
        <v>0</v>
      </c>
      <c r="H82" s="78"/>
      <c r="I82" s="159"/>
      <c r="J82" s="7"/>
      <c r="K82" s="7"/>
    </row>
    <row r="83" spans="1:18" x14ac:dyDescent="0.3">
      <c r="A83" s="229" t="s">
        <v>17</v>
      </c>
      <c r="B83" s="227" t="s">
        <v>46</v>
      </c>
      <c r="C83" s="227"/>
      <c r="D83" s="227"/>
      <c r="E83" s="227"/>
      <c r="F83" s="227"/>
      <c r="G83" s="227"/>
      <c r="H83" s="227"/>
    </row>
    <row r="84" spans="1:18" x14ac:dyDescent="0.3">
      <c r="A84" s="229"/>
      <c r="B84" s="227" t="s">
        <v>295</v>
      </c>
      <c r="C84" s="227"/>
      <c r="D84" s="227"/>
      <c r="E84" s="227"/>
      <c r="F84" s="227"/>
      <c r="G84" s="227"/>
      <c r="H84" s="227"/>
    </row>
    <row r="85" spans="1:18" x14ac:dyDescent="0.3">
      <c r="A85" s="3" t="s">
        <v>49</v>
      </c>
    </row>
    <row r="86" spans="1:18" x14ac:dyDescent="0.3">
      <c r="A86" s="3" t="s">
        <v>536</v>
      </c>
    </row>
    <row r="87" spans="1:18" x14ac:dyDescent="0.3">
      <c r="A87" s="3" t="s">
        <v>294</v>
      </c>
    </row>
  </sheetData>
  <mergeCells count="4">
    <mergeCell ref="B84:H84"/>
    <mergeCell ref="A1:H1"/>
    <mergeCell ref="A83:A84"/>
    <mergeCell ref="B83:H83"/>
  </mergeCells>
  <phoneticPr fontId="5" type="noConversion"/>
  <hyperlinks>
    <hyperlink ref="G9" r:id="rId1" xr:uid="{D70879E1-8264-4ABB-A738-C8F8B382B730}"/>
  </hyperlinks>
  <printOptions horizontalCentered="1"/>
  <pageMargins left="0.19685039370078741" right="0.19685039370078741" top="0.39370078740157483" bottom="0.19685039370078741" header="0.19685039370078741" footer="0"/>
  <pageSetup paperSize="9" scale="94" fitToHeight="0" orientation="landscape" horizontalDpi="300" verticalDpi="300" r:id="rId2"/>
  <headerFooter alignWithMargins="0">
    <oddFooter>&amp;C&amp;P/&amp;N</oddFooter>
  </headerFooter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88"/>
  <sheetViews>
    <sheetView topLeftCell="A78" zoomScale="115" zoomScaleNormal="70" workbookViewId="0">
      <selection activeCell="B89" sqref="B89"/>
    </sheetView>
  </sheetViews>
  <sheetFormatPr defaultColWidth="9" defaultRowHeight="15" x14ac:dyDescent="0.25"/>
  <cols>
    <col min="1" max="1" width="5.6640625" style="2" customWidth="1"/>
    <col min="2" max="2" width="51.6640625" style="115" customWidth="1"/>
    <col min="3" max="3" width="7.6640625" style="115" customWidth="1"/>
    <col min="4" max="4" width="7.6640625" style="130" bestFit="1" customWidth="1"/>
    <col min="5" max="5" width="14.6640625" style="115" customWidth="1"/>
    <col min="6" max="7" width="14" style="115" customWidth="1"/>
    <col min="8" max="8" width="16.6640625" style="115" customWidth="1"/>
    <col min="9" max="9" width="16" style="115" customWidth="1"/>
    <col min="10" max="10" width="14" style="115" customWidth="1"/>
    <col min="11" max="11" width="36" style="115" customWidth="1"/>
    <col min="12" max="12" width="13.44140625" style="115" customWidth="1"/>
    <col min="13" max="13" width="3" style="115" bestFit="1" customWidth="1"/>
    <col min="14" max="14" width="9" style="115" bestFit="1" customWidth="1"/>
    <col min="15" max="15" width="16.6640625" style="115" bestFit="1" customWidth="1"/>
    <col min="16" max="16384" width="9" style="115"/>
  </cols>
  <sheetData>
    <row r="1" spans="1:13" ht="24.6" x14ac:dyDescent="0.4">
      <c r="A1" s="252" t="s">
        <v>14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</row>
    <row r="2" spans="1:13" ht="18.45" customHeight="1" x14ac:dyDescent="0.4">
      <c r="B2" s="114"/>
      <c r="C2" s="114"/>
      <c r="D2" s="116"/>
      <c r="E2" s="114"/>
      <c r="F2" s="114"/>
      <c r="G2" s="114"/>
      <c r="H2" s="114"/>
      <c r="I2" s="114"/>
      <c r="J2" s="114"/>
      <c r="K2" s="117">
        <v>44098</v>
      </c>
    </row>
    <row r="3" spans="1:13" s="4" customFormat="1" ht="17.399999999999999" x14ac:dyDescent="0.3">
      <c r="A3" s="11"/>
      <c r="B3" s="13"/>
      <c r="C3" s="14"/>
      <c r="D3" s="71"/>
      <c r="E3" s="71"/>
      <c r="F3" s="16"/>
      <c r="G3" s="16"/>
      <c r="H3" s="71"/>
      <c r="I3" s="16" t="s">
        <v>48</v>
      </c>
      <c r="J3" s="111"/>
      <c r="K3" s="136"/>
    </row>
    <row r="4" spans="1:13" s="4" customFormat="1" ht="17.399999999999999" x14ac:dyDescent="0.3">
      <c r="A4" s="17"/>
      <c r="C4" s="7"/>
      <c r="D4" s="72"/>
      <c r="E4" s="72"/>
      <c r="F4" s="19"/>
      <c r="G4" s="19"/>
      <c r="H4" s="72"/>
      <c r="I4" s="19"/>
      <c r="K4" s="20"/>
    </row>
    <row r="5" spans="1:13" s="4" customFormat="1" ht="17.399999999999999" x14ac:dyDescent="0.3">
      <c r="A5" s="17"/>
      <c r="C5" s="7"/>
      <c r="D5" s="72"/>
      <c r="E5" s="72"/>
      <c r="F5" s="19"/>
      <c r="G5" s="19"/>
      <c r="H5" s="72"/>
      <c r="I5" s="19" t="s">
        <v>21</v>
      </c>
      <c r="J5" s="73"/>
      <c r="K5" s="20"/>
    </row>
    <row r="6" spans="1:13" s="4" customFormat="1" ht="17.399999999999999" x14ac:dyDescent="0.3">
      <c r="A6" s="17"/>
      <c r="C6" s="7"/>
      <c r="D6" s="72"/>
      <c r="E6" s="72"/>
      <c r="F6" s="19"/>
      <c r="G6" s="19"/>
      <c r="H6" s="72"/>
      <c r="I6" s="19" t="s">
        <v>22</v>
      </c>
      <c r="J6" s="73"/>
      <c r="K6" s="20"/>
    </row>
    <row r="7" spans="1:13" s="4" customFormat="1" ht="17.399999999999999" x14ac:dyDescent="0.3">
      <c r="A7" s="17"/>
      <c r="C7" s="7"/>
      <c r="D7" s="72"/>
      <c r="E7" s="72"/>
      <c r="F7" s="19"/>
      <c r="G7" s="19"/>
      <c r="H7" s="72"/>
      <c r="I7" s="19" t="s">
        <v>23</v>
      </c>
      <c r="J7" s="73"/>
      <c r="K7" s="20"/>
    </row>
    <row r="8" spans="1:13" s="4" customFormat="1" ht="17.399999999999999" x14ac:dyDescent="0.3">
      <c r="A8" s="21" t="s">
        <v>24</v>
      </c>
      <c r="C8" s="7"/>
      <c r="D8" s="72"/>
      <c r="E8" s="72"/>
      <c r="F8" s="22"/>
      <c r="G8" s="22"/>
      <c r="H8" s="72"/>
      <c r="I8" s="22" t="s">
        <v>25</v>
      </c>
      <c r="J8" s="73"/>
      <c r="K8" s="20"/>
    </row>
    <row r="9" spans="1:13" s="4" customFormat="1" ht="22.2" customHeight="1" x14ac:dyDescent="0.3">
      <c r="A9" s="21" t="s">
        <v>26</v>
      </c>
      <c r="C9" s="112"/>
      <c r="D9" s="113"/>
      <c r="E9" s="113"/>
      <c r="F9" s="19"/>
      <c r="G9" s="19"/>
      <c r="H9" s="113"/>
      <c r="I9" s="19" t="s">
        <v>27</v>
      </c>
      <c r="J9" s="73"/>
      <c r="K9" s="20"/>
    </row>
    <row r="10" spans="1:13" s="128" customFormat="1" ht="17.399999999999999" x14ac:dyDescent="0.3">
      <c r="A10" s="254" t="s">
        <v>298</v>
      </c>
      <c r="B10" s="255"/>
      <c r="C10" s="255"/>
      <c r="D10" s="255"/>
      <c r="E10" s="255"/>
      <c r="F10" s="132"/>
      <c r="G10" s="132"/>
      <c r="H10" s="132"/>
      <c r="I10" s="132"/>
      <c r="J10" s="132"/>
      <c r="K10" s="133"/>
    </row>
    <row r="11" spans="1:13" s="128" customFormat="1" ht="39" customHeight="1" x14ac:dyDescent="0.3">
      <c r="A11" s="28" t="s">
        <v>28</v>
      </c>
      <c r="B11" s="28" t="s">
        <v>29</v>
      </c>
      <c r="C11" s="28" t="s">
        <v>296</v>
      </c>
      <c r="D11" s="28" t="s">
        <v>30</v>
      </c>
      <c r="E11" s="40" t="s">
        <v>291</v>
      </c>
      <c r="F11" s="40" t="s">
        <v>292</v>
      </c>
      <c r="G11" s="40" t="s">
        <v>306</v>
      </c>
      <c r="H11" s="135" t="s">
        <v>302</v>
      </c>
      <c r="I11" s="135" t="s">
        <v>303</v>
      </c>
      <c r="J11" s="135" t="s">
        <v>304</v>
      </c>
      <c r="K11" s="28" t="s">
        <v>17</v>
      </c>
      <c r="L11" s="134"/>
      <c r="M11" s="134"/>
    </row>
    <row r="12" spans="1:13" s="4" customFormat="1" ht="55.2" customHeight="1" x14ac:dyDescent="0.3">
      <c r="A12" s="40">
        <v>1</v>
      </c>
      <c r="B12" s="52" t="s">
        <v>253</v>
      </c>
      <c r="C12" s="40"/>
      <c r="D12" s="40" t="s">
        <v>13</v>
      </c>
      <c r="E12" s="34">
        <v>5000</v>
      </c>
      <c r="F12" s="34">
        <v>0</v>
      </c>
      <c r="G12" s="35">
        <f>C12*(E12+F12)</f>
        <v>0</v>
      </c>
      <c r="H12" s="34">
        <f>E12*0.95</f>
        <v>4750</v>
      </c>
      <c r="I12" s="34">
        <f>F12*0.95</f>
        <v>0</v>
      </c>
      <c r="J12" s="120">
        <f>C12*(H12+I12)</f>
        <v>0</v>
      </c>
      <c r="K12" s="137"/>
      <c r="L12" s="7"/>
    </row>
    <row r="13" spans="1:13" s="1" customFormat="1" ht="55.2" customHeight="1" x14ac:dyDescent="0.3">
      <c r="A13" s="40">
        <v>2</v>
      </c>
      <c r="B13" s="52" t="s">
        <v>254</v>
      </c>
      <c r="C13" s="40"/>
      <c r="D13" s="40" t="s">
        <v>13</v>
      </c>
      <c r="E13" s="34">
        <v>380</v>
      </c>
      <c r="F13" s="34">
        <v>1000</v>
      </c>
      <c r="G13" s="35">
        <f t="shared" ref="G13:G76" si="0">C13*(E13+F13)</f>
        <v>0</v>
      </c>
      <c r="H13" s="34">
        <f t="shared" ref="H13:H76" si="1">E13*0.95</f>
        <v>361</v>
      </c>
      <c r="I13" s="34">
        <f t="shared" ref="I13:I76" si="2">F13*0.95</f>
        <v>950</v>
      </c>
      <c r="J13" s="120">
        <f t="shared" ref="J13:J76" si="3">C13*(H13+I13)</f>
        <v>0</v>
      </c>
      <c r="K13" s="118"/>
      <c r="L13" s="2"/>
      <c r="M13" s="2"/>
    </row>
    <row r="14" spans="1:13" s="1" customFormat="1" ht="55.2" customHeight="1" x14ac:dyDescent="0.3">
      <c r="A14" s="40">
        <v>3</v>
      </c>
      <c r="B14" s="31" t="s">
        <v>65</v>
      </c>
      <c r="C14" s="28"/>
      <c r="D14" s="28" t="s">
        <v>1</v>
      </c>
      <c r="E14" s="34">
        <v>5000</v>
      </c>
      <c r="F14" s="34">
        <v>10000</v>
      </c>
      <c r="G14" s="35">
        <f t="shared" si="0"/>
        <v>0</v>
      </c>
      <c r="H14" s="34">
        <f t="shared" si="1"/>
        <v>4750</v>
      </c>
      <c r="I14" s="34">
        <f t="shared" si="2"/>
        <v>9500</v>
      </c>
      <c r="J14" s="120">
        <f t="shared" si="3"/>
        <v>0</v>
      </c>
      <c r="K14" s="118"/>
      <c r="L14" s="2"/>
      <c r="M14" s="2"/>
    </row>
    <row r="15" spans="1:13" s="1" customFormat="1" ht="55.2" customHeight="1" x14ac:dyDescent="0.3">
      <c r="A15" s="40">
        <v>4</v>
      </c>
      <c r="B15" s="81">
        <f>(300+500*1.1)*2</f>
        <v>1700</v>
      </c>
      <c r="C15" s="40"/>
      <c r="D15" s="40" t="s">
        <v>3</v>
      </c>
      <c r="E15" s="34">
        <v>1500</v>
      </c>
      <c r="F15" s="34">
        <v>0</v>
      </c>
      <c r="G15" s="35">
        <f t="shared" si="0"/>
        <v>0</v>
      </c>
      <c r="H15" s="34">
        <f t="shared" si="1"/>
        <v>1425</v>
      </c>
      <c r="I15" s="34">
        <f t="shared" si="2"/>
        <v>0</v>
      </c>
      <c r="J15" s="120">
        <f t="shared" si="3"/>
        <v>0</v>
      </c>
      <c r="K15" s="118"/>
      <c r="L15" s="2"/>
      <c r="M15" s="2"/>
    </row>
    <row r="16" spans="1:13" s="1" customFormat="1" ht="55.2" customHeight="1" x14ac:dyDescent="0.3">
      <c r="A16" s="40">
        <v>5</v>
      </c>
      <c r="B16" s="81" t="s">
        <v>74</v>
      </c>
      <c r="C16" s="28"/>
      <c r="D16" s="28" t="s">
        <v>2</v>
      </c>
      <c r="E16" s="37">
        <v>1000</v>
      </c>
      <c r="F16" s="34">
        <v>0</v>
      </c>
      <c r="G16" s="35">
        <f t="shared" si="0"/>
        <v>0</v>
      </c>
      <c r="H16" s="34">
        <f t="shared" si="1"/>
        <v>950</v>
      </c>
      <c r="I16" s="34">
        <f t="shared" si="2"/>
        <v>0</v>
      </c>
      <c r="J16" s="120">
        <f t="shared" si="3"/>
        <v>0</v>
      </c>
      <c r="K16" s="118"/>
      <c r="L16" s="2"/>
      <c r="M16" s="2"/>
    </row>
    <row r="17" spans="1:13" s="1" customFormat="1" ht="55.2" customHeight="1" x14ac:dyDescent="0.3">
      <c r="A17" s="40">
        <v>6</v>
      </c>
      <c r="B17" s="81" t="s">
        <v>72</v>
      </c>
      <c r="C17" s="40"/>
      <c r="D17" s="40" t="s">
        <v>2</v>
      </c>
      <c r="E17" s="37">
        <v>500</v>
      </c>
      <c r="F17" s="34">
        <v>0</v>
      </c>
      <c r="G17" s="35">
        <f t="shared" si="0"/>
        <v>0</v>
      </c>
      <c r="H17" s="34">
        <f t="shared" si="1"/>
        <v>475</v>
      </c>
      <c r="I17" s="34">
        <f t="shared" si="2"/>
        <v>0</v>
      </c>
      <c r="J17" s="120">
        <f t="shared" si="3"/>
        <v>0</v>
      </c>
      <c r="K17" s="118"/>
      <c r="L17" s="2"/>
      <c r="M17" s="2"/>
    </row>
    <row r="18" spans="1:13" s="1" customFormat="1" ht="55.2" customHeight="1" x14ac:dyDescent="0.3">
      <c r="A18" s="40">
        <v>7</v>
      </c>
      <c r="B18" s="36" t="s">
        <v>224</v>
      </c>
      <c r="C18" s="40"/>
      <c r="D18" s="40" t="s">
        <v>2</v>
      </c>
      <c r="E18" s="34">
        <v>3000</v>
      </c>
      <c r="F18" s="34">
        <v>0</v>
      </c>
      <c r="G18" s="35">
        <f t="shared" si="0"/>
        <v>0</v>
      </c>
      <c r="H18" s="34">
        <f t="shared" si="1"/>
        <v>2850</v>
      </c>
      <c r="I18" s="34">
        <f t="shared" si="2"/>
        <v>0</v>
      </c>
      <c r="J18" s="120">
        <f t="shared" si="3"/>
        <v>0</v>
      </c>
      <c r="K18" s="118"/>
      <c r="L18" s="2"/>
      <c r="M18" s="2"/>
    </row>
    <row r="19" spans="1:13" s="1" customFormat="1" ht="55.2" customHeight="1" x14ac:dyDescent="0.3">
      <c r="A19" s="40">
        <v>8</v>
      </c>
      <c r="B19" s="41" t="s">
        <v>255</v>
      </c>
      <c r="C19" s="40"/>
      <c r="D19" s="40" t="s">
        <v>6</v>
      </c>
      <c r="E19" s="34">
        <v>2500</v>
      </c>
      <c r="F19" s="34">
        <v>0</v>
      </c>
      <c r="G19" s="35">
        <f t="shared" si="0"/>
        <v>0</v>
      </c>
      <c r="H19" s="34">
        <f t="shared" si="1"/>
        <v>2375</v>
      </c>
      <c r="I19" s="34">
        <f t="shared" si="2"/>
        <v>0</v>
      </c>
      <c r="J19" s="120">
        <f t="shared" si="3"/>
        <v>0</v>
      </c>
      <c r="K19" s="118"/>
      <c r="L19" s="2"/>
      <c r="M19" s="2"/>
    </row>
    <row r="20" spans="1:13" s="1" customFormat="1" ht="55.2" customHeight="1" x14ac:dyDescent="0.3">
      <c r="A20" s="40">
        <v>9</v>
      </c>
      <c r="B20" s="52" t="s">
        <v>308</v>
      </c>
      <c r="C20" s="40"/>
      <c r="D20" s="40" t="s">
        <v>13</v>
      </c>
      <c r="E20" s="34">
        <v>1200</v>
      </c>
      <c r="F20" s="34">
        <v>0</v>
      </c>
      <c r="G20" s="35">
        <f t="shared" si="0"/>
        <v>0</v>
      </c>
      <c r="H20" s="34">
        <f t="shared" si="1"/>
        <v>1140</v>
      </c>
      <c r="I20" s="34">
        <f t="shared" si="2"/>
        <v>0</v>
      </c>
      <c r="J20" s="120">
        <f t="shared" si="3"/>
        <v>0</v>
      </c>
      <c r="K20" s="118"/>
      <c r="L20" s="2"/>
      <c r="M20" s="2"/>
    </row>
    <row r="21" spans="1:13" s="1" customFormat="1" ht="55.2" customHeight="1" x14ac:dyDescent="0.3">
      <c r="A21" s="40">
        <v>10</v>
      </c>
      <c r="B21" s="52" t="s">
        <v>307</v>
      </c>
      <c r="C21" s="40"/>
      <c r="D21" s="40" t="s">
        <v>13</v>
      </c>
      <c r="E21" s="34">
        <v>872</v>
      </c>
      <c r="F21" s="34">
        <v>600</v>
      </c>
      <c r="G21" s="35">
        <f t="shared" si="0"/>
        <v>0</v>
      </c>
      <c r="H21" s="34">
        <f t="shared" si="1"/>
        <v>828.4</v>
      </c>
      <c r="I21" s="34">
        <f t="shared" si="2"/>
        <v>570</v>
      </c>
      <c r="J21" s="120">
        <f t="shared" si="3"/>
        <v>0</v>
      </c>
      <c r="K21" s="118"/>
      <c r="L21" s="2"/>
      <c r="M21" s="2"/>
    </row>
    <row r="22" spans="1:13" s="1" customFormat="1" ht="55.2" customHeight="1" x14ac:dyDescent="0.3">
      <c r="A22" s="40">
        <v>11</v>
      </c>
      <c r="B22" s="52" t="s">
        <v>309</v>
      </c>
      <c r="C22" s="40"/>
      <c r="D22" s="40" t="s">
        <v>13</v>
      </c>
      <c r="E22" s="34">
        <v>3500</v>
      </c>
      <c r="F22" s="34">
        <v>0</v>
      </c>
      <c r="G22" s="35">
        <f t="shared" si="0"/>
        <v>0</v>
      </c>
      <c r="H22" s="34">
        <f t="shared" si="1"/>
        <v>3325</v>
      </c>
      <c r="I22" s="34">
        <f t="shared" si="2"/>
        <v>0</v>
      </c>
      <c r="J22" s="120">
        <f t="shared" si="3"/>
        <v>0</v>
      </c>
      <c r="K22" s="118"/>
      <c r="L22" s="2"/>
      <c r="M22" s="2"/>
    </row>
    <row r="23" spans="1:13" s="1" customFormat="1" ht="55.2" customHeight="1" x14ac:dyDescent="0.3">
      <c r="A23" s="40">
        <v>12</v>
      </c>
      <c r="B23" s="53" t="s">
        <v>256</v>
      </c>
      <c r="C23" s="28"/>
      <c r="D23" s="28" t="s">
        <v>15</v>
      </c>
      <c r="E23" s="37">
        <v>300</v>
      </c>
      <c r="F23" s="34">
        <v>0</v>
      </c>
      <c r="G23" s="35">
        <f t="shared" si="0"/>
        <v>0</v>
      </c>
      <c r="H23" s="34">
        <f t="shared" si="1"/>
        <v>285</v>
      </c>
      <c r="I23" s="34">
        <f t="shared" si="2"/>
        <v>0</v>
      </c>
      <c r="J23" s="120">
        <f t="shared" si="3"/>
        <v>0</v>
      </c>
      <c r="K23" s="118"/>
      <c r="L23" s="2"/>
      <c r="M23" s="2"/>
    </row>
    <row r="24" spans="1:13" s="1" customFormat="1" ht="55.2" customHeight="1" x14ac:dyDescent="0.3">
      <c r="A24" s="40">
        <v>13</v>
      </c>
      <c r="B24" s="53" t="s">
        <v>257</v>
      </c>
      <c r="C24" s="28"/>
      <c r="D24" s="28" t="s">
        <v>10</v>
      </c>
      <c r="E24" s="37">
        <v>3000</v>
      </c>
      <c r="F24" s="34">
        <v>0</v>
      </c>
      <c r="G24" s="35">
        <f t="shared" si="0"/>
        <v>0</v>
      </c>
      <c r="H24" s="34">
        <f t="shared" si="1"/>
        <v>2850</v>
      </c>
      <c r="I24" s="34">
        <f t="shared" si="2"/>
        <v>0</v>
      </c>
      <c r="J24" s="120">
        <f t="shared" si="3"/>
        <v>0</v>
      </c>
      <c r="K24" s="118"/>
      <c r="L24" s="2"/>
      <c r="M24" s="2"/>
    </row>
    <row r="25" spans="1:13" s="1" customFormat="1" ht="55.2" customHeight="1" x14ac:dyDescent="0.3">
      <c r="A25" s="40">
        <v>14</v>
      </c>
      <c r="B25" s="53" t="s">
        <v>258</v>
      </c>
      <c r="C25" s="28"/>
      <c r="D25" s="28" t="s">
        <v>9</v>
      </c>
      <c r="E25" s="37">
        <v>3000</v>
      </c>
      <c r="F25" s="34">
        <v>0</v>
      </c>
      <c r="G25" s="35">
        <f t="shared" si="0"/>
        <v>0</v>
      </c>
      <c r="H25" s="34">
        <f t="shared" si="1"/>
        <v>2850</v>
      </c>
      <c r="I25" s="34">
        <f t="shared" si="2"/>
        <v>0</v>
      </c>
      <c r="J25" s="120">
        <f t="shared" si="3"/>
        <v>0</v>
      </c>
      <c r="K25" s="118"/>
      <c r="L25" s="2"/>
      <c r="M25" s="2"/>
    </row>
    <row r="26" spans="1:13" s="1" customFormat="1" ht="55.2" customHeight="1" x14ac:dyDescent="0.3">
      <c r="A26" s="40">
        <v>15</v>
      </c>
      <c r="B26" s="41" t="s">
        <v>287</v>
      </c>
      <c r="C26" s="40"/>
      <c r="D26" s="40" t="s">
        <v>6</v>
      </c>
      <c r="E26" s="34">
        <v>10000</v>
      </c>
      <c r="F26" s="34">
        <v>0</v>
      </c>
      <c r="G26" s="35">
        <f t="shared" si="0"/>
        <v>0</v>
      </c>
      <c r="H26" s="34">
        <f t="shared" si="1"/>
        <v>9500</v>
      </c>
      <c r="I26" s="34">
        <f t="shared" si="2"/>
        <v>0</v>
      </c>
      <c r="J26" s="120">
        <f t="shared" si="3"/>
        <v>0</v>
      </c>
      <c r="K26" s="118"/>
      <c r="L26" s="2"/>
      <c r="M26" s="2"/>
    </row>
    <row r="27" spans="1:13" s="1" customFormat="1" ht="55.2" customHeight="1" x14ac:dyDescent="0.3">
      <c r="A27" s="40">
        <v>16</v>
      </c>
      <c r="B27" s="53" t="s">
        <v>259</v>
      </c>
      <c r="C27" s="28"/>
      <c r="D27" s="28" t="s">
        <v>6</v>
      </c>
      <c r="E27" s="37">
        <v>2000</v>
      </c>
      <c r="F27" s="34">
        <v>0</v>
      </c>
      <c r="G27" s="35">
        <f t="shared" si="0"/>
        <v>0</v>
      </c>
      <c r="H27" s="34">
        <f t="shared" si="1"/>
        <v>1900</v>
      </c>
      <c r="I27" s="34">
        <f t="shared" si="2"/>
        <v>0</v>
      </c>
      <c r="J27" s="120">
        <f t="shared" si="3"/>
        <v>0</v>
      </c>
      <c r="K27" s="118"/>
      <c r="L27" s="2"/>
      <c r="M27" s="2"/>
    </row>
    <row r="28" spans="1:13" s="1" customFormat="1" ht="55.2" customHeight="1" x14ac:dyDescent="0.3">
      <c r="A28" s="40">
        <v>17</v>
      </c>
      <c r="B28" s="53" t="s">
        <v>260</v>
      </c>
      <c r="C28" s="28"/>
      <c r="D28" s="28" t="s">
        <v>10</v>
      </c>
      <c r="E28" s="37">
        <v>3000</v>
      </c>
      <c r="F28" s="34">
        <v>0</v>
      </c>
      <c r="G28" s="35">
        <f t="shared" si="0"/>
        <v>0</v>
      </c>
      <c r="H28" s="34">
        <f t="shared" si="1"/>
        <v>2850</v>
      </c>
      <c r="I28" s="34">
        <f t="shared" si="2"/>
        <v>0</v>
      </c>
      <c r="J28" s="120">
        <f t="shared" si="3"/>
        <v>0</v>
      </c>
      <c r="K28" s="118"/>
      <c r="L28" s="2"/>
      <c r="M28" s="2"/>
    </row>
    <row r="29" spans="1:13" s="1" customFormat="1" ht="55.2" customHeight="1" x14ac:dyDescent="0.3">
      <c r="A29" s="40">
        <v>18</v>
      </c>
      <c r="B29" s="52" t="s">
        <v>526</v>
      </c>
      <c r="C29" s="28"/>
      <c r="D29" s="28" t="s">
        <v>5</v>
      </c>
      <c r="E29" s="37">
        <v>100</v>
      </c>
      <c r="F29" s="34">
        <v>452</v>
      </c>
      <c r="G29" s="35">
        <f t="shared" si="0"/>
        <v>0</v>
      </c>
      <c r="H29" s="34">
        <f t="shared" si="1"/>
        <v>95</v>
      </c>
      <c r="I29" s="34">
        <f t="shared" si="2"/>
        <v>429.4</v>
      </c>
      <c r="J29" s="120">
        <f t="shared" si="3"/>
        <v>0</v>
      </c>
      <c r="K29" s="118"/>
      <c r="L29" s="2"/>
      <c r="M29" s="2"/>
    </row>
    <row r="30" spans="1:13" s="1" customFormat="1" ht="55.2" customHeight="1" x14ac:dyDescent="0.3">
      <c r="A30" s="40">
        <v>19</v>
      </c>
      <c r="B30" s="52" t="s">
        <v>225</v>
      </c>
      <c r="C30" s="40"/>
      <c r="D30" s="40" t="s">
        <v>3</v>
      </c>
      <c r="E30" s="34">
        <v>1500</v>
      </c>
      <c r="F30" s="34">
        <v>1260</v>
      </c>
      <c r="G30" s="35">
        <f t="shared" si="0"/>
        <v>0</v>
      </c>
      <c r="H30" s="34">
        <f t="shared" si="1"/>
        <v>1425</v>
      </c>
      <c r="I30" s="34">
        <f t="shared" si="2"/>
        <v>1197</v>
      </c>
      <c r="J30" s="120">
        <f t="shared" si="3"/>
        <v>0</v>
      </c>
      <c r="K30" s="118"/>
      <c r="L30" s="2"/>
      <c r="M30" s="2"/>
    </row>
    <row r="31" spans="1:13" s="1" customFormat="1" ht="55.2" customHeight="1" x14ac:dyDescent="0.3">
      <c r="A31" s="40">
        <v>20</v>
      </c>
      <c r="B31" s="52" t="s">
        <v>261</v>
      </c>
      <c r="C31" s="40"/>
      <c r="D31" s="40" t="s">
        <v>3</v>
      </c>
      <c r="E31" s="34">
        <v>3500</v>
      </c>
      <c r="F31" s="34">
        <v>0</v>
      </c>
      <c r="G31" s="35">
        <f t="shared" si="0"/>
        <v>0</v>
      </c>
      <c r="H31" s="34">
        <f t="shared" si="1"/>
        <v>3325</v>
      </c>
      <c r="I31" s="34">
        <f t="shared" si="2"/>
        <v>0</v>
      </c>
      <c r="J31" s="120">
        <f t="shared" si="3"/>
        <v>0</v>
      </c>
      <c r="K31" s="118"/>
      <c r="L31" s="2"/>
      <c r="M31" s="2"/>
    </row>
    <row r="32" spans="1:13" s="1" customFormat="1" ht="55.2" customHeight="1" x14ac:dyDescent="0.3">
      <c r="A32" s="40">
        <v>21</v>
      </c>
      <c r="B32" s="52" t="s">
        <v>262</v>
      </c>
      <c r="C32" s="40"/>
      <c r="D32" s="40" t="s">
        <v>3</v>
      </c>
      <c r="E32" s="34">
        <v>0</v>
      </c>
      <c r="F32" s="34">
        <v>184</v>
      </c>
      <c r="G32" s="35">
        <f t="shared" si="0"/>
        <v>0</v>
      </c>
      <c r="H32" s="34">
        <f t="shared" si="1"/>
        <v>0</v>
      </c>
      <c r="I32" s="34">
        <f t="shared" si="2"/>
        <v>174.79999999999998</v>
      </c>
      <c r="J32" s="120">
        <f t="shared" si="3"/>
        <v>0</v>
      </c>
      <c r="K32" s="118"/>
      <c r="L32" s="2"/>
      <c r="M32" s="2"/>
    </row>
    <row r="33" spans="1:13" s="1" customFormat="1" ht="55.2" customHeight="1" x14ac:dyDescent="0.3">
      <c r="A33" s="40">
        <v>22</v>
      </c>
      <c r="B33" s="52" t="s">
        <v>226</v>
      </c>
      <c r="C33" s="28"/>
      <c r="D33" s="28" t="s">
        <v>3</v>
      </c>
      <c r="E33" s="37">
        <v>150</v>
      </c>
      <c r="F33" s="34">
        <v>402</v>
      </c>
      <c r="G33" s="35">
        <f t="shared" si="0"/>
        <v>0</v>
      </c>
      <c r="H33" s="34">
        <f t="shared" si="1"/>
        <v>142.5</v>
      </c>
      <c r="I33" s="34">
        <f t="shared" si="2"/>
        <v>381.9</v>
      </c>
      <c r="J33" s="120">
        <f t="shared" si="3"/>
        <v>0</v>
      </c>
      <c r="K33" s="118"/>
      <c r="L33" s="2"/>
      <c r="M33" s="2"/>
    </row>
    <row r="34" spans="1:13" s="1" customFormat="1" ht="55.2" customHeight="1" x14ac:dyDescent="0.3">
      <c r="A34" s="40">
        <v>23</v>
      </c>
      <c r="B34" s="52" t="s">
        <v>227</v>
      </c>
      <c r="C34" s="40"/>
      <c r="D34" s="40" t="s">
        <v>3</v>
      </c>
      <c r="E34" s="34">
        <v>0</v>
      </c>
      <c r="F34" s="34">
        <v>276</v>
      </c>
      <c r="G34" s="35">
        <f t="shared" si="0"/>
        <v>0</v>
      </c>
      <c r="H34" s="34">
        <f t="shared" si="1"/>
        <v>0</v>
      </c>
      <c r="I34" s="34">
        <f t="shared" si="2"/>
        <v>262.2</v>
      </c>
      <c r="J34" s="120">
        <f t="shared" si="3"/>
        <v>0</v>
      </c>
      <c r="K34" s="118"/>
      <c r="L34" s="2"/>
      <c r="M34" s="2"/>
    </row>
    <row r="35" spans="1:13" s="1" customFormat="1" ht="55.2" customHeight="1" x14ac:dyDescent="0.3">
      <c r="A35" s="40">
        <v>24</v>
      </c>
      <c r="B35" s="52" t="s">
        <v>263</v>
      </c>
      <c r="C35" s="40"/>
      <c r="D35" s="40" t="s">
        <v>3</v>
      </c>
      <c r="E35" s="37">
        <v>0</v>
      </c>
      <c r="F35" s="37">
        <v>92</v>
      </c>
      <c r="G35" s="35">
        <f t="shared" si="0"/>
        <v>0</v>
      </c>
      <c r="H35" s="34">
        <f t="shared" si="1"/>
        <v>0</v>
      </c>
      <c r="I35" s="34">
        <f t="shared" si="2"/>
        <v>87.399999999999991</v>
      </c>
      <c r="J35" s="120">
        <f t="shared" si="3"/>
        <v>0</v>
      </c>
      <c r="K35" s="118"/>
      <c r="L35" s="2"/>
      <c r="M35" s="2"/>
    </row>
    <row r="36" spans="1:13" s="1" customFormat="1" ht="55.2" customHeight="1" x14ac:dyDescent="0.3">
      <c r="A36" s="40">
        <v>25</v>
      </c>
      <c r="B36" s="52" t="s">
        <v>229</v>
      </c>
      <c r="C36" s="40"/>
      <c r="D36" s="40" t="s">
        <v>2</v>
      </c>
      <c r="E36" s="34">
        <v>600</v>
      </c>
      <c r="F36" s="34">
        <v>4000</v>
      </c>
      <c r="G36" s="35">
        <f t="shared" si="0"/>
        <v>0</v>
      </c>
      <c r="H36" s="34">
        <f t="shared" si="1"/>
        <v>570</v>
      </c>
      <c r="I36" s="34">
        <f t="shared" si="2"/>
        <v>3800</v>
      </c>
      <c r="J36" s="120">
        <f t="shared" si="3"/>
        <v>0</v>
      </c>
      <c r="K36" s="118"/>
      <c r="L36" s="2"/>
      <c r="M36" s="2"/>
    </row>
    <row r="37" spans="1:13" s="1" customFormat="1" ht="55.2" customHeight="1" x14ac:dyDescent="0.3">
      <c r="A37" s="40">
        <v>26</v>
      </c>
      <c r="B37" s="52" t="s">
        <v>230</v>
      </c>
      <c r="C37" s="40"/>
      <c r="D37" s="40" t="s">
        <v>2</v>
      </c>
      <c r="E37" s="34">
        <v>1650</v>
      </c>
      <c r="F37" s="34">
        <v>0</v>
      </c>
      <c r="G37" s="35">
        <f t="shared" si="0"/>
        <v>0</v>
      </c>
      <c r="H37" s="34">
        <f t="shared" si="1"/>
        <v>1567.5</v>
      </c>
      <c r="I37" s="34">
        <f t="shared" si="2"/>
        <v>0</v>
      </c>
      <c r="J37" s="120">
        <f t="shared" si="3"/>
        <v>0</v>
      </c>
      <c r="K37" s="118"/>
      <c r="L37" s="2"/>
      <c r="M37" s="2"/>
    </row>
    <row r="38" spans="1:13" s="1" customFormat="1" ht="55.2" customHeight="1" x14ac:dyDescent="0.3">
      <c r="A38" s="40">
        <v>27</v>
      </c>
      <c r="B38" s="52" t="s">
        <v>231</v>
      </c>
      <c r="C38" s="40"/>
      <c r="D38" s="40" t="s">
        <v>2</v>
      </c>
      <c r="E38" s="34">
        <v>300</v>
      </c>
      <c r="F38" s="34">
        <v>0</v>
      </c>
      <c r="G38" s="35">
        <f t="shared" si="0"/>
        <v>0</v>
      </c>
      <c r="H38" s="34">
        <f t="shared" si="1"/>
        <v>285</v>
      </c>
      <c r="I38" s="34">
        <f t="shared" si="2"/>
        <v>0</v>
      </c>
      <c r="J38" s="120">
        <f t="shared" si="3"/>
        <v>0</v>
      </c>
      <c r="K38" s="118"/>
      <c r="L38" s="2"/>
      <c r="M38" s="2"/>
    </row>
    <row r="39" spans="1:13" s="1" customFormat="1" ht="55.2" customHeight="1" x14ac:dyDescent="0.3">
      <c r="A39" s="40">
        <v>28</v>
      </c>
      <c r="B39" s="52" t="s">
        <v>264</v>
      </c>
      <c r="C39" s="40"/>
      <c r="D39" s="40" t="s">
        <v>13</v>
      </c>
      <c r="E39" s="34">
        <v>15</v>
      </c>
      <c r="F39" s="34">
        <v>80</v>
      </c>
      <c r="G39" s="35">
        <f t="shared" si="0"/>
        <v>0</v>
      </c>
      <c r="H39" s="34">
        <f t="shared" si="1"/>
        <v>14.25</v>
      </c>
      <c r="I39" s="34">
        <f t="shared" si="2"/>
        <v>76</v>
      </c>
      <c r="J39" s="120">
        <f t="shared" si="3"/>
        <v>0</v>
      </c>
      <c r="K39" s="118"/>
      <c r="L39" s="2"/>
      <c r="M39" s="2"/>
    </row>
    <row r="40" spans="1:13" s="1" customFormat="1" ht="55.2" customHeight="1" x14ac:dyDescent="0.3">
      <c r="A40" s="40">
        <v>29</v>
      </c>
      <c r="B40" s="52" t="s">
        <v>233</v>
      </c>
      <c r="C40" s="40"/>
      <c r="D40" s="40" t="s">
        <v>7</v>
      </c>
      <c r="E40" s="34">
        <v>75</v>
      </c>
      <c r="F40" s="34">
        <v>155</v>
      </c>
      <c r="G40" s="35">
        <f t="shared" si="0"/>
        <v>0</v>
      </c>
      <c r="H40" s="34">
        <f t="shared" si="1"/>
        <v>71.25</v>
      </c>
      <c r="I40" s="34">
        <f t="shared" si="2"/>
        <v>147.25</v>
      </c>
      <c r="J40" s="120">
        <f t="shared" si="3"/>
        <v>0</v>
      </c>
      <c r="K40" s="118"/>
      <c r="L40" s="2"/>
      <c r="M40" s="2"/>
    </row>
    <row r="41" spans="1:13" s="1" customFormat="1" ht="55.2" customHeight="1" x14ac:dyDescent="0.3">
      <c r="A41" s="40">
        <v>30</v>
      </c>
      <c r="B41" s="52" t="s">
        <v>265</v>
      </c>
      <c r="C41" s="40"/>
      <c r="D41" s="40" t="s">
        <v>2</v>
      </c>
      <c r="E41" s="34">
        <v>4000</v>
      </c>
      <c r="F41" s="34">
        <v>0</v>
      </c>
      <c r="G41" s="35">
        <f t="shared" si="0"/>
        <v>0</v>
      </c>
      <c r="H41" s="34">
        <f t="shared" si="1"/>
        <v>3800</v>
      </c>
      <c r="I41" s="34">
        <f t="shared" si="2"/>
        <v>0</v>
      </c>
      <c r="J41" s="120">
        <f t="shared" si="3"/>
        <v>0</v>
      </c>
      <c r="K41" s="118"/>
      <c r="L41" s="2"/>
      <c r="M41" s="2"/>
    </row>
    <row r="42" spans="1:13" s="1" customFormat="1" ht="55.2" customHeight="1" x14ac:dyDescent="0.3">
      <c r="A42" s="40">
        <v>31</v>
      </c>
      <c r="B42" s="52" t="s">
        <v>234</v>
      </c>
      <c r="C42" s="40"/>
      <c r="D42" s="40" t="s">
        <v>2</v>
      </c>
      <c r="E42" s="34">
        <v>380</v>
      </c>
      <c r="F42" s="34">
        <v>1000</v>
      </c>
      <c r="G42" s="35">
        <f t="shared" si="0"/>
        <v>0</v>
      </c>
      <c r="H42" s="34">
        <f t="shared" si="1"/>
        <v>361</v>
      </c>
      <c r="I42" s="34">
        <f t="shared" si="2"/>
        <v>950</v>
      </c>
      <c r="J42" s="120">
        <f t="shared" si="3"/>
        <v>0</v>
      </c>
      <c r="K42" s="118"/>
      <c r="L42" s="2"/>
      <c r="M42" s="2"/>
    </row>
    <row r="43" spans="1:13" s="1" customFormat="1" ht="55.2" customHeight="1" x14ac:dyDescent="0.3">
      <c r="A43" s="40">
        <v>32</v>
      </c>
      <c r="B43" s="52" t="s">
        <v>235</v>
      </c>
      <c r="C43" s="40"/>
      <c r="D43" s="40" t="s">
        <v>2</v>
      </c>
      <c r="E43" s="34">
        <v>380</v>
      </c>
      <c r="F43" s="34">
        <v>1000</v>
      </c>
      <c r="G43" s="35">
        <f t="shared" si="0"/>
        <v>0</v>
      </c>
      <c r="H43" s="34">
        <f t="shared" si="1"/>
        <v>361</v>
      </c>
      <c r="I43" s="34">
        <f t="shared" si="2"/>
        <v>950</v>
      </c>
      <c r="J43" s="120">
        <f t="shared" si="3"/>
        <v>0</v>
      </c>
      <c r="K43" s="118"/>
      <c r="L43" s="2"/>
      <c r="M43" s="2"/>
    </row>
    <row r="44" spans="1:13" s="1" customFormat="1" ht="55.2" customHeight="1" x14ac:dyDescent="0.3">
      <c r="A44" s="40">
        <v>33</v>
      </c>
      <c r="B44" s="52" t="s">
        <v>236</v>
      </c>
      <c r="C44" s="40"/>
      <c r="D44" s="40" t="s">
        <v>2</v>
      </c>
      <c r="E44" s="34">
        <v>650</v>
      </c>
      <c r="F44" s="34">
        <v>1650</v>
      </c>
      <c r="G44" s="35">
        <f t="shared" si="0"/>
        <v>0</v>
      </c>
      <c r="H44" s="34">
        <f t="shared" si="1"/>
        <v>617.5</v>
      </c>
      <c r="I44" s="34">
        <f t="shared" si="2"/>
        <v>1567.5</v>
      </c>
      <c r="J44" s="120">
        <f t="shared" si="3"/>
        <v>0</v>
      </c>
      <c r="K44" s="118"/>
      <c r="L44" s="2"/>
      <c r="M44" s="2"/>
    </row>
    <row r="45" spans="1:13" s="1" customFormat="1" ht="55.2" customHeight="1" x14ac:dyDescent="0.3">
      <c r="A45" s="40">
        <v>34</v>
      </c>
      <c r="B45" s="52" t="s">
        <v>237</v>
      </c>
      <c r="C45" s="40"/>
      <c r="D45" s="40" t="s">
        <v>2</v>
      </c>
      <c r="E45" s="37">
        <v>400</v>
      </c>
      <c r="F45" s="34">
        <v>1440</v>
      </c>
      <c r="G45" s="35">
        <f t="shared" si="0"/>
        <v>0</v>
      </c>
      <c r="H45" s="34">
        <f t="shared" si="1"/>
        <v>380</v>
      </c>
      <c r="I45" s="34">
        <f t="shared" si="2"/>
        <v>1368</v>
      </c>
      <c r="J45" s="120">
        <f t="shared" si="3"/>
        <v>0</v>
      </c>
      <c r="K45" s="118"/>
      <c r="L45" s="2"/>
      <c r="M45" s="2"/>
    </row>
    <row r="46" spans="1:13" s="1" customFormat="1" ht="55.2" customHeight="1" x14ac:dyDescent="0.3">
      <c r="A46" s="40">
        <v>35</v>
      </c>
      <c r="B46" s="52" t="s">
        <v>238</v>
      </c>
      <c r="C46" s="40"/>
      <c r="D46" s="40" t="s">
        <v>2</v>
      </c>
      <c r="E46" s="34">
        <v>1500</v>
      </c>
      <c r="F46" s="34">
        <v>0</v>
      </c>
      <c r="G46" s="35">
        <f t="shared" si="0"/>
        <v>0</v>
      </c>
      <c r="H46" s="34">
        <f t="shared" si="1"/>
        <v>1425</v>
      </c>
      <c r="I46" s="34">
        <f t="shared" si="2"/>
        <v>0</v>
      </c>
      <c r="J46" s="120">
        <f t="shared" si="3"/>
        <v>0</v>
      </c>
      <c r="K46" s="118"/>
      <c r="L46" s="2"/>
      <c r="M46" s="2"/>
    </row>
    <row r="47" spans="1:13" s="1" customFormat="1" ht="55.2" customHeight="1" x14ac:dyDescent="0.3">
      <c r="A47" s="40">
        <v>36</v>
      </c>
      <c r="B47" s="52" t="s">
        <v>266</v>
      </c>
      <c r="C47" s="40"/>
      <c r="D47" s="40" t="s">
        <v>2</v>
      </c>
      <c r="E47" s="37">
        <v>285</v>
      </c>
      <c r="F47" s="34">
        <v>1095</v>
      </c>
      <c r="G47" s="35">
        <f t="shared" si="0"/>
        <v>0</v>
      </c>
      <c r="H47" s="34">
        <f t="shared" si="1"/>
        <v>270.75</v>
      </c>
      <c r="I47" s="34">
        <f t="shared" si="2"/>
        <v>1040.25</v>
      </c>
      <c r="J47" s="120">
        <f t="shared" si="3"/>
        <v>0</v>
      </c>
      <c r="K47" s="118"/>
      <c r="L47" s="2"/>
      <c r="M47" s="2"/>
    </row>
    <row r="48" spans="1:13" s="1" customFormat="1" ht="55.2" customHeight="1" x14ac:dyDescent="0.3">
      <c r="A48" s="40">
        <v>37</v>
      </c>
      <c r="B48" s="52" t="s">
        <v>239</v>
      </c>
      <c r="C48" s="40"/>
      <c r="D48" s="40" t="s">
        <v>6</v>
      </c>
      <c r="E48" s="37">
        <v>100</v>
      </c>
      <c r="F48" s="34">
        <v>1280</v>
      </c>
      <c r="G48" s="35">
        <f t="shared" si="0"/>
        <v>0</v>
      </c>
      <c r="H48" s="34">
        <f t="shared" si="1"/>
        <v>95</v>
      </c>
      <c r="I48" s="34">
        <f t="shared" si="2"/>
        <v>1216</v>
      </c>
      <c r="J48" s="120">
        <f t="shared" si="3"/>
        <v>0</v>
      </c>
      <c r="K48" s="118"/>
      <c r="L48" s="2"/>
      <c r="M48" s="2"/>
    </row>
    <row r="49" spans="1:13" s="1" customFormat="1" ht="55.2" customHeight="1" x14ac:dyDescent="0.3">
      <c r="A49" s="40">
        <v>38</v>
      </c>
      <c r="B49" s="52" t="s">
        <v>240</v>
      </c>
      <c r="C49" s="40"/>
      <c r="D49" s="40" t="s">
        <v>7</v>
      </c>
      <c r="E49" s="37">
        <v>250</v>
      </c>
      <c r="F49" s="34">
        <v>0</v>
      </c>
      <c r="G49" s="35">
        <f t="shared" si="0"/>
        <v>0</v>
      </c>
      <c r="H49" s="34">
        <f t="shared" si="1"/>
        <v>237.5</v>
      </c>
      <c r="I49" s="34">
        <f t="shared" si="2"/>
        <v>0</v>
      </c>
      <c r="J49" s="120">
        <f t="shared" si="3"/>
        <v>0</v>
      </c>
      <c r="K49" s="118"/>
      <c r="L49" s="2"/>
      <c r="M49" s="2"/>
    </row>
    <row r="50" spans="1:13" s="1" customFormat="1" ht="55.2" customHeight="1" x14ac:dyDescent="0.3">
      <c r="A50" s="40">
        <v>39</v>
      </c>
      <c r="B50" s="52" t="s">
        <v>241</v>
      </c>
      <c r="C50" s="40"/>
      <c r="D50" s="40" t="s">
        <v>6</v>
      </c>
      <c r="E50" s="37">
        <v>100</v>
      </c>
      <c r="F50" s="34">
        <v>1280</v>
      </c>
      <c r="G50" s="35">
        <f t="shared" si="0"/>
        <v>0</v>
      </c>
      <c r="H50" s="34">
        <f t="shared" si="1"/>
        <v>95</v>
      </c>
      <c r="I50" s="34">
        <f t="shared" si="2"/>
        <v>1216</v>
      </c>
      <c r="J50" s="120">
        <f t="shared" si="3"/>
        <v>0</v>
      </c>
      <c r="K50" s="118"/>
      <c r="L50" s="2"/>
      <c r="M50" s="2"/>
    </row>
    <row r="51" spans="1:13" s="1" customFormat="1" ht="55.2" customHeight="1" x14ac:dyDescent="0.3">
      <c r="A51" s="40">
        <v>40</v>
      </c>
      <c r="B51" s="52" t="s">
        <v>242</v>
      </c>
      <c r="C51" s="40"/>
      <c r="D51" s="40" t="s">
        <v>7</v>
      </c>
      <c r="E51" s="37">
        <v>250</v>
      </c>
      <c r="F51" s="34">
        <v>0</v>
      </c>
      <c r="G51" s="35">
        <f t="shared" si="0"/>
        <v>0</v>
      </c>
      <c r="H51" s="34">
        <f t="shared" si="1"/>
        <v>237.5</v>
      </c>
      <c r="I51" s="34">
        <f t="shared" si="2"/>
        <v>0</v>
      </c>
      <c r="J51" s="120">
        <f t="shared" si="3"/>
        <v>0</v>
      </c>
      <c r="K51" s="118"/>
      <c r="L51" s="2"/>
      <c r="M51" s="2"/>
    </row>
    <row r="52" spans="1:13" s="1" customFormat="1" ht="55.2" customHeight="1" x14ac:dyDescent="0.3">
      <c r="A52" s="40">
        <v>41</v>
      </c>
      <c r="B52" s="52" t="s">
        <v>267</v>
      </c>
      <c r="C52" s="40"/>
      <c r="D52" s="40" t="s">
        <v>3</v>
      </c>
      <c r="E52" s="37">
        <v>110</v>
      </c>
      <c r="F52" s="34">
        <v>800</v>
      </c>
      <c r="G52" s="35">
        <f t="shared" si="0"/>
        <v>0</v>
      </c>
      <c r="H52" s="34">
        <f t="shared" si="1"/>
        <v>104.5</v>
      </c>
      <c r="I52" s="34">
        <f t="shared" si="2"/>
        <v>760</v>
      </c>
      <c r="J52" s="120">
        <f t="shared" si="3"/>
        <v>0</v>
      </c>
      <c r="K52" s="118"/>
      <c r="L52" s="2"/>
      <c r="M52" s="2"/>
    </row>
    <row r="53" spans="1:13" s="1" customFormat="1" ht="55.2" customHeight="1" x14ac:dyDescent="0.3">
      <c r="A53" s="40">
        <v>42</v>
      </c>
      <c r="B53" s="52" t="s">
        <v>268</v>
      </c>
      <c r="C53" s="40"/>
      <c r="D53" s="40" t="s">
        <v>3</v>
      </c>
      <c r="E53" s="37">
        <v>150</v>
      </c>
      <c r="F53" s="34">
        <v>770</v>
      </c>
      <c r="G53" s="35">
        <f t="shared" si="0"/>
        <v>0</v>
      </c>
      <c r="H53" s="34">
        <f t="shared" si="1"/>
        <v>142.5</v>
      </c>
      <c r="I53" s="34">
        <f t="shared" si="2"/>
        <v>731.5</v>
      </c>
      <c r="J53" s="120">
        <f t="shared" si="3"/>
        <v>0</v>
      </c>
      <c r="K53" s="118"/>
      <c r="L53" s="2"/>
      <c r="M53" s="2"/>
    </row>
    <row r="54" spans="1:13" s="1" customFormat="1" ht="55.2" customHeight="1" x14ac:dyDescent="0.3">
      <c r="A54" s="40">
        <v>43</v>
      </c>
      <c r="B54" s="52" t="s">
        <v>269</v>
      </c>
      <c r="C54" s="40"/>
      <c r="D54" s="40" t="s">
        <v>5</v>
      </c>
      <c r="E54" s="34">
        <v>2700</v>
      </c>
      <c r="F54" s="34">
        <v>3000</v>
      </c>
      <c r="G54" s="35">
        <f t="shared" si="0"/>
        <v>0</v>
      </c>
      <c r="H54" s="34">
        <f t="shared" si="1"/>
        <v>2565</v>
      </c>
      <c r="I54" s="34">
        <f t="shared" si="2"/>
        <v>2850</v>
      </c>
      <c r="J54" s="120">
        <f t="shared" si="3"/>
        <v>0</v>
      </c>
      <c r="K54" s="118"/>
      <c r="L54" s="2"/>
      <c r="M54" s="2"/>
    </row>
    <row r="55" spans="1:13" s="1" customFormat="1" ht="55.2" customHeight="1" x14ac:dyDescent="0.3">
      <c r="A55" s="40">
        <v>44</v>
      </c>
      <c r="B55" s="82" t="s">
        <v>67</v>
      </c>
      <c r="C55" s="40"/>
      <c r="D55" s="40" t="s">
        <v>5</v>
      </c>
      <c r="E55" s="34">
        <v>1550</v>
      </c>
      <c r="F55" s="34">
        <v>3000</v>
      </c>
      <c r="G55" s="35">
        <f t="shared" si="0"/>
        <v>0</v>
      </c>
      <c r="H55" s="34">
        <f t="shared" si="1"/>
        <v>1472.5</v>
      </c>
      <c r="I55" s="34">
        <f t="shared" si="2"/>
        <v>2850</v>
      </c>
      <c r="J55" s="120">
        <f t="shared" si="3"/>
        <v>0</v>
      </c>
      <c r="K55" s="118"/>
      <c r="L55" s="2"/>
      <c r="M55" s="2"/>
    </row>
    <row r="56" spans="1:13" s="1" customFormat="1" ht="55.2" customHeight="1" x14ac:dyDescent="0.3">
      <c r="A56" s="40">
        <v>45</v>
      </c>
      <c r="B56" s="36" t="s">
        <v>243</v>
      </c>
      <c r="C56" s="40"/>
      <c r="D56" s="40" t="s">
        <v>5</v>
      </c>
      <c r="E56" s="34">
        <v>1500</v>
      </c>
      <c r="F56" s="34">
        <v>0</v>
      </c>
      <c r="G56" s="35">
        <f t="shared" si="0"/>
        <v>0</v>
      </c>
      <c r="H56" s="34">
        <f t="shared" si="1"/>
        <v>1425</v>
      </c>
      <c r="I56" s="34">
        <f t="shared" si="2"/>
        <v>0</v>
      </c>
      <c r="J56" s="120">
        <f t="shared" si="3"/>
        <v>0</v>
      </c>
      <c r="K56" s="118"/>
      <c r="L56" s="2"/>
      <c r="M56" s="2"/>
    </row>
    <row r="57" spans="1:13" s="1" customFormat="1" ht="55.2" customHeight="1" x14ac:dyDescent="0.3">
      <c r="A57" s="40">
        <v>46</v>
      </c>
      <c r="B57" s="81" t="s">
        <v>68</v>
      </c>
      <c r="C57" s="40"/>
      <c r="D57" s="40" t="s">
        <v>5</v>
      </c>
      <c r="E57" s="34">
        <v>100</v>
      </c>
      <c r="F57" s="34">
        <v>452</v>
      </c>
      <c r="G57" s="35">
        <f t="shared" si="0"/>
        <v>0</v>
      </c>
      <c r="H57" s="34">
        <f t="shared" si="1"/>
        <v>95</v>
      </c>
      <c r="I57" s="34">
        <f t="shared" si="2"/>
        <v>429.4</v>
      </c>
      <c r="J57" s="120">
        <f t="shared" si="3"/>
        <v>0</v>
      </c>
      <c r="K57" s="118"/>
      <c r="L57" s="2"/>
      <c r="M57" s="2"/>
    </row>
    <row r="58" spans="1:13" s="1" customFormat="1" ht="55.2" customHeight="1" x14ac:dyDescent="0.3">
      <c r="A58" s="40">
        <v>47</v>
      </c>
      <c r="B58" s="81" t="s">
        <v>288</v>
      </c>
      <c r="C58" s="40"/>
      <c r="D58" s="40" t="s">
        <v>2</v>
      </c>
      <c r="E58" s="37">
        <v>0</v>
      </c>
      <c r="F58" s="34">
        <v>920</v>
      </c>
      <c r="G58" s="35">
        <f t="shared" si="0"/>
        <v>0</v>
      </c>
      <c r="H58" s="34">
        <f t="shared" si="1"/>
        <v>0</v>
      </c>
      <c r="I58" s="34">
        <f t="shared" si="2"/>
        <v>874</v>
      </c>
      <c r="J58" s="120">
        <f t="shared" si="3"/>
        <v>0</v>
      </c>
      <c r="K58" s="118"/>
      <c r="L58" s="2"/>
      <c r="M58" s="2"/>
    </row>
    <row r="59" spans="1:13" s="1" customFormat="1" ht="55.2" customHeight="1" x14ac:dyDescent="0.3">
      <c r="A59" s="40">
        <v>48</v>
      </c>
      <c r="B59" s="52" t="s">
        <v>270</v>
      </c>
      <c r="C59" s="40"/>
      <c r="D59" s="40" t="s">
        <v>2</v>
      </c>
      <c r="E59" s="37">
        <v>0</v>
      </c>
      <c r="F59" s="34">
        <v>2300</v>
      </c>
      <c r="G59" s="35">
        <f t="shared" si="0"/>
        <v>0</v>
      </c>
      <c r="H59" s="34">
        <f t="shared" si="1"/>
        <v>0</v>
      </c>
      <c r="I59" s="34">
        <f t="shared" si="2"/>
        <v>2185</v>
      </c>
      <c r="J59" s="120">
        <f t="shared" si="3"/>
        <v>0</v>
      </c>
      <c r="K59" s="118"/>
      <c r="L59" s="2"/>
      <c r="M59" s="2"/>
    </row>
    <row r="60" spans="1:13" s="1" customFormat="1" ht="55.2" customHeight="1" x14ac:dyDescent="0.3">
      <c r="A60" s="40">
        <v>49</v>
      </c>
      <c r="B60" s="52" t="s">
        <v>271</v>
      </c>
      <c r="C60" s="40"/>
      <c r="D60" s="40" t="s">
        <v>2</v>
      </c>
      <c r="E60" s="37">
        <v>0</v>
      </c>
      <c r="F60" s="34">
        <v>1000</v>
      </c>
      <c r="G60" s="35">
        <f t="shared" si="0"/>
        <v>0</v>
      </c>
      <c r="H60" s="34">
        <f t="shared" si="1"/>
        <v>0</v>
      </c>
      <c r="I60" s="34">
        <f t="shared" si="2"/>
        <v>950</v>
      </c>
      <c r="J60" s="120">
        <f t="shared" si="3"/>
        <v>0</v>
      </c>
      <c r="K60" s="118"/>
      <c r="L60" s="2"/>
      <c r="M60" s="2"/>
    </row>
    <row r="61" spans="1:13" s="1" customFormat="1" ht="55.2" customHeight="1" x14ac:dyDescent="0.3">
      <c r="A61" s="40">
        <v>50</v>
      </c>
      <c r="B61" s="52" t="s">
        <v>272</v>
      </c>
      <c r="C61" s="40"/>
      <c r="D61" s="40" t="s">
        <v>7</v>
      </c>
      <c r="E61" s="37">
        <v>0</v>
      </c>
      <c r="F61" s="34">
        <v>5580</v>
      </c>
      <c r="G61" s="35">
        <f t="shared" si="0"/>
        <v>0</v>
      </c>
      <c r="H61" s="34">
        <f t="shared" si="1"/>
        <v>0</v>
      </c>
      <c r="I61" s="34">
        <f t="shared" si="2"/>
        <v>5301</v>
      </c>
      <c r="J61" s="120">
        <f t="shared" si="3"/>
        <v>0</v>
      </c>
      <c r="K61" s="118"/>
      <c r="L61" s="2"/>
      <c r="M61" s="2"/>
    </row>
    <row r="62" spans="1:13" s="1" customFormat="1" ht="55.2" customHeight="1" x14ac:dyDescent="0.3">
      <c r="A62" s="40">
        <v>51</v>
      </c>
      <c r="B62" s="81" t="s">
        <v>70</v>
      </c>
      <c r="C62" s="40"/>
      <c r="D62" s="40" t="s">
        <v>4</v>
      </c>
      <c r="E62" s="37">
        <v>40000</v>
      </c>
      <c r="F62" s="34">
        <v>0</v>
      </c>
      <c r="G62" s="35">
        <f t="shared" si="0"/>
        <v>0</v>
      </c>
      <c r="H62" s="34">
        <f t="shared" si="1"/>
        <v>38000</v>
      </c>
      <c r="I62" s="34">
        <f t="shared" si="2"/>
        <v>0</v>
      </c>
      <c r="J62" s="120">
        <f t="shared" si="3"/>
        <v>0</v>
      </c>
      <c r="K62" s="118"/>
      <c r="L62" s="2"/>
      <c r="M62" s="2"/>
    </row>
    <row r="63" spans="1:13" s="1" customFormat="1" ht="55.2" customHeight="1" x14ac:dyDescent="0.3">
      <c r="A63" s="40">
        <v>52</v>
      </c>
      <c r="B63" s="52" t="s">
        <v>246</v>
      </c>
      <c r="C63" s="40"/>
      <c r="D63" s="40" t="s">
        <v>4</v>
      </c>
      <c r="E63" s="37">
        <v>55000</v>
      </c>
      <c r="F63" s="34">
        <v>0</v>
      </c>
      <c r="G63" s="35">
        <f t="shared" si="0"/>
        <v>0</v>
      </c>
      <c r="H63" s="34">
        <f t="shared" si="1"/>
        <v>52250</v>
      </c>
      <c r="I63" s="34">
        <f t="shared" si="2"/>
        <v>0</v>
      </c>
      <c r="J63" s="120">
        <f t="shared" si="3"/>
        <v>0</v>
      </c>
      <c r="K63" s="118"/>
      <c r="L63" s="2"/>
      <c r="M63" s="2"/>
    </row>
    <row r="64" spans="1:13" s="1" customFormat="1" ht="55.2" customHeight="1" x14ac:dyDescent="0.3">
      <c r="A64" s="40">
        <v>53</v>
      </c>
      <c r="B64" s="52" t="s">
        <v>273</v>
      </c>
      <c r="C64" s="40"/>
      <c r="D64" s="40" t="s">
        <v>4</v>
      </c>
      <c r="E64" s="37">
        <v>0</v>
      </c>
      <c r="F64" s="34">
        <v>2500</v>
      </c>
      <c r="G64" s="35">
        <f t="shared" si="0"/>
        <v>0</v>
      </c>
      <c r="H64" s="34">
        <f t="shared" si="1"/>
        <v>0</v>
      </c>
      <c r="I64" s="34">
        <f t="shared" si="2"/>
        <v>2375</v>
      </c>
      <c r="J64" s="120">
        <f t="shared" si="3"/>
        <v>0</v>
      </c>
      <c r="K64" s="118"/>
      <c r="L64" s="2"/>
      <c r="M64" s="2"/>
    </row>
    <row r="65" spans="1:13" s="1" customFormat="1" ht="55.2" customHeight="1" x14ac:dyDescent="0.3">
      <c r="A65" s="40">
        <v>54</v>
      </c>
      <c r="B65" s="52" t="s">
        <v>274</v>
      </c>
      <c r="C65" s="40"/>
      <c r="D65" s="40" t="s">
        <v>2</v>
      </c>
      <c r="E65" s="37">
        <v>0</v>
      </c>
      <c r="F65" s="34">
        <v>920</v>
      </c>
      <c r="G65" s="35">
        <f t="shared" si="0"/>
        <v>0</v>
      </c>
      <c r="H65" s="34">
        <f t="shared" si="1"/>
        <v>0</v>
      </c>
      <c r="I65" s="34">
        <f t="shared" si="2"/>
        <v>874</v>
      </c>
      <c r="J65" s="120">
        <f t="shared" si="3"/>
        <v>0</v>
      </c>
      <c r="K65" s="118"/>
      <c r="L65" s="2"/>
      <c r="M65" s="2"/>
    </row>
    <row r="66" spans="1:13" s="1" customFormat="1" ht="55.2" customHeight="1" x14ac:dyDescent="0.3">
      <c r="A66" s="40">
        <v>55</v>
      </c>
      <c r="B66" s="52" t="s">
        <v>275</v>
      </c>
      <c r="C66" s="40"/>
      <c r="D66" s="40" t="s">
        <v>4</v>
      </c>
      <c r="E66" s="37">
        <v>15000</v>
      </c>
      <c r="F66" s="34">
        <v>0</v>
      </c>
      <c r="G66" s="35">
        <f t="shared" si="0"/>
        <v>0</v>
      </c>
      <c r="H66" s="34">
        <f t="shared" si="1"/>
        <v>14250</v>
      </c>
      <c r="I66" s="34">
        <f t="shared" si="2"/>
        <v>0</v>
      </c>
      <c r="J66" s="120">
        <f t="shared" si="3"/>
        <v>0</v>
      </c>
      <c r="K66" s="118"/>
      <c r="L66" s="2"/>
      <c r="M66" s="2"/>
    </row>
    <row r="67" spans="1:13" s="1" customFormat="1" ht="55.2" customHeight="1" x14ac:dyDescent="0.3">
      <c r="A67" s="40">
        <v>56</v>
      </c>
      <c r="B67" s="52" t="s">
        <v>248</v>
      </c>
      <c r="C67" s="40"/>
      <c r="D67" s="40" t="s">
        <v>4</v>
      </c>
      <c r="E67" s="37">
        <v>30000</v>
      </c>
      <c r="F67" s="34">
        <v>0</v>
      </c>
      <c r="G67" s="35">
        <f t="shared" si="0"/>
        <v>0</v>
      </c>
      <c r="H67" s="34">
        <f t="shared" si="1"/>
        <v>28500</v>
      </c>
      <c r="I67" s="34">
        <f t="shared" si="2"/>
        <v>0</v>
      </c>
      <c r="J67" s="120">
        <f t="shared" si="3"/>
        <v>0</v>
      </c>
      <c r="K67" s="118"/>
      <c r="L67" s="2"/>
      <c r="M67" s="2"/>
    </row>
    <row r="68" spans="1:13" s="1" customFormat="1" ht="55.2" customHeight="1" x14ac:dyDescent="0.3">
      <c r="A68" s="40">
        <v>57</v>
      </c>
      <c r="B68" s="52" t="s">
        <v>249</v>
      </c>
      <c r="C68" s="40"/>
      <c r="D68" s="40" t="s">
        <v>4</v>
      </c>
      <c r="E68" s="37">
        <v>3000</v>
      </c>
      <c r="F68" s="34">
        <v>0</v>
      </c>
      <c r="G68" s="35">
        <f t="shared" si="0"/>
        <v>0</v>
      </c>
      <c r="H68" s="34">
        <f t="shared" si="1"/>
        <v>2850</v>
      </c>
      <c r="I68" s="34">
        <f t="shared" si="2"/>
        <v>0</v>
      </c>
      <c r="J68" s="120">
        <f t="shared" si="3"/>
        <v>0</v>
      </c>
      <c r="K68" s="118"/>
      <c r="L68" s="2"/>
      <c r="M68" s="2"/>
    </row>
    <row r="69" spans="1:13" s="1" customFormat="1" ht="55.2" customHeight="1" x14ac:dyDescent="0.3">
      <c r="A69" s="40">
        <v>58</v>
      </c>
      <c r="B69" s="52" t="s">
        <v>276</v>
      </c>
      <c r="C69" s="40"/>
      <c r="D69" s="40" t="s">
        <v>2</v>
      </c>
      <c r="E69" s="37">
        <v>500</v>
      </c>
      <c r="F69" s="34">
        <v>1800</v>
      </c>
      <c r="G69" s="35">
        <f t="shared" si="0"/>
        <v>0</v>
      </c>
      <c r="H69" s="34">
        <f t="shared" si="1"/>
        <v>475</v>
      </c>
      <c r="I69" s="34">
        <f t="shared" si="2"/>
        <v>1710</v>
      </c>
      <c r="J69" s="120">
        <f t="shared" si="3"/>
        <v>0</v>
      </c>
      <c r="K69" s="118"/>
      <c r="L69" s="2"/>
      <c r="M69" s="2"/>
    </row>
    <row r="70" spans="1:13" s="1" customFormat="1" ht="55.2" customHeight="1" x14ac:dyDescent="0.3">
      <c r="A70" s="40">
        <v>59</v>
      </c>
      <c r="B70" s="52" t="s">
        <v>277</v>
      </c>
      <c r="C70" s="40"/>
      <c r="D70" s="40" t="s">
        <v>7</v>
      </c>
      <c r="E70" s="37">
        <v>515</v>
      </c>
      <c r="F70" s="34">
        <v>2061</v>
      </c>
      <c r="G70" s="35">
        <f t="shared" si="0"/>
        <v>0</v>
      </c>
      <c r="H70" s="34">
        <f t="shared" si="1"/>
        <v>489.25</v>
      </c>
      <c r="I70" s="34">
        <f t="shared" si="2"/>
        <v>1957.9499999999998</v>
      </c>
      <c r="J70" s="120">
        <f t="shared" si="3"/>
        <v>0</v>
      </c>
      <c r="K70" s="118"/>
      <c r="L70" s="2"/>
      <c r="M70" s="2"/>
    </row>
    <row r="71" spans="1:13" s="1" customFormat="1" ht="55.2" customHeight="1" x14ac:dyDescent="0.3">
      <c r="A71" s="40">
        <v>60</v>
      </c>
      <c r="B71" s="52" t="s">
        <v>278</v>
      </c>
      <c r="C71" s="28"/>
      <c r="D71" s="28" t="s">
        <v>4</v>
      </c>
      <c r="E71" s="37">
        <v>8000</v>
      </c>
      <c r="F71" s="34">
        <v>0</v>
      </c>
      <c r="G71" s="35">
        <f t="shared" si="0"/>
        <v>0</v>
      </c>
      <c r="H71" s="34">
        <f t="shared" si="1"/>
        <v>7600</v>
      </c>
      <c r="I71" s="34">
        <f t="shared" si="2"/>
        <v>0</v>
      </c>
      <c r="J71" s="120">
        <f t="shared" si="3"/>
        <v>0</v>
      </c>
      <c r="K71" s="118"/>
      <c r="L71" s="2"/>
      <c r="M71" s="2"/>
    </row>
    <row r="72" spans="1:13" s="1" customFormat="1" ht="55.2" customHeight="1" x14ac:dyDescent="0.3">
      <c r="A72" s="40">
        <v>61</v>
      </c>
      <c r="B72" s="52" t="s">
        <v>279</v>
      </c>
      <c r="C72" s="28"/>
      <c r="D72" s="28" t="s">
        <v>3</v>
      </c>
      <c r="E72" s="37">
        <v>2000</v>
      </c>
      <c r="F72" s="34">
        <v>0</v>
      </c>
      <c r="G72" s="35">
        <f t="shared" si="0"/>
        <v>0</v>
      </c>
      <c r="H72" s="34">
        <f t="shared" si="1"/>
        <v>1900</v>
      </c>
      <c r="I72" s="34">
        <f t="shared" si="2"/>
        <v>0</v>
      </c>
      <c r="J72" s="120">
        <f t="shared" si="3"/>
        <v>0</v>
      </c>
      <c r="K72" s="118"/>
      <c r="L72" s="2"/>
      <c r="M72" s="2"/>
    </row>
    <row r="73" spans="1:13" s="1" customFormat="1" ht="55.2" customHeight="1" x14ac:dyDescent="0.3">
      <c r="A73" s="40">
        <v>62</v>
      </c>
      <c r="B73" s="41" t="s">
        <v>280</v>
      </c>
      <c r="C73" s="40"/>
      <c r="D73" s="40" t="s">
        <v>289</v>
      </c>
      <c r="E73" s="34">
        <v>800</v>
      </c>
      <c r="F73" s="34">
        <v>0</v>
      </c>
      <c r="G73" s="35">
        <f t="shared" si="0"/>
        <v>0</v>
      </c>
      <c r="H73" s="34">
        <f t="shared" si="1"/>
        <v>760</v>
      </c>
      <c r="I73" s="34">
        <f t="shared" si="2"/>
        <v>0</v>
      </c>
      <c r="J73" s="120">
        <f t="shared" si="3"/>
        <v>0</v>
      </c>
      <c r="K73" s="118"/>
      <c r="L73" s="2"/>
      <c r="M73" s="2"/>
    </row>
    <row r="74" spans="1:13" s="121" customFormat="1" ht="55.2" customHeight="1" x14ac:dyDescent="0.25">
      <c r="A74" s="40">
        <v>63</v>
      </c>
      <c r="B74" s="41" t="s">
        <v>281</v>
      </c>
      <c r="C74" s="40"/>
      <c r="D74" s="40" t="s">
        <v>8</v>
      </c>
      <c r="E74" s="34">
        <v>2000</v>
      </c>
      <c r="F74" s="34">
        <v>0</v>
      </c>
      <c r="G74" s="35">
        <f t="shared" si="0"/>
        <v>0</v>
      </c>
      <c r="H74" s="34">
        <f t="shared" si="1"/>
        <v>1900</v>
      </c>
      <c r="I74" s="34">
        <f t="shared" si="2"/>
        <v>0</v>
      </c>
      <c r="J74" s="120">
        <f t="shared" si="3"/>
        <v>0</v>
      </c>
      <c r="K74" s="118"/>
    </row>
    <row r="75" spans="1:13" ht="55.2" customHeight="1" x14ac:dyDescent="0.25">
      <c r="A75" s="40">
        <v>64</v>
      </c>
      <c r="B75" s="41" t="s">
        <v>282</v>
      </c>
      <c r="C75" s="40"/>
      <c r="D75" s="40" t="s">
        <v>6</v>
      </c>
      <c r="E75" s="34">
        <v>100</v>
      </c>
      <c r="F75" s="34">
        <v>0</v>
      </c>
      <c r="G75" s="35">
        <f t="shared" si="0"/>
        <v>0</v>
      </c>
      <c r="H75" s="34">
        <f t="shared" si="1"/>
        <v>95</v>
      </c>
      <c r="I75" s="34">
        <f t="shared" si="2"/>
        <v>0</v>
      </c>
      <c r="J75" s="120">
        <f t="shared" si="3"/>
        <v>0</v>
      </c>
      <c r="K75" s="118"/>
      <c r="L75" s="119"/>
      <c r="M75" s="119"/>
    </row>
    <row r="76" spans="1:13" ht="55.2" customHeight="1" x14ac:dyDescent="0.25">
      <c r="A76" s="40">
        <v>65</v>
      </c>
      <c r="B76" s="41" t="s">
        <v>283</v>
      </c>
      <c r="C76" s="40"/>
      <c r="D76" s="40" t="s">
        <v>8</v>
      </c>
      <c r="E76" s="34">
        <v>30000</v>
      </c>
      <c r="F76" s="34">
        <v>0</v>
      </c>
      <c r="G76" s="35">
        <f t="shared" si="0"/>
        <v>0</v>
      </c>
      <c r="H76" s="34">
        <f t="shared" si="1"/>
        <v>28500</v>
      </c>
      <c r="I76" s="34">
        <f t="shared" si="2"/>
        <v>0</v>
      </c>
      <c r="J76" s="120">
        <f t="shared" si="3"/>
        <v>0</v>
      </c>
      <c r="K76" s="118"/>
      <c r="L76" s="119"/>
      <c r="M76" s="119"/>
    </row>
    <row r="77" spans="1:13" ht="55.2" customHeight="1" x14ac:dyDescent="0.25">
      <c r="A77" s="40">
        <v>66</v>
      </c>
      <c r="B77" s="51" t="s">
        <v>284</v>
      </c>
      <c r="C77" s="28"/>
      <c r="D77" s="28" t="s">
        <v>9</v>
      </c>
      <c r="E77" s="37">
        <v>840</v>
      </c>
      <c r="F77" s="34">
        <v>1000</v>
      </c>
      <c r="G77" s="35">
        <f>C77*(E77+F77)</f>
        <v>0</v>
      </c>
      <c r="H77" s="34">
        <f>E77*0.95</f>
        <v>798</v>
      </c>
      <c r="I77" s="34">
        <f>F77*0.95</f>
        <v>950</v>
      </c>
      <c r="J77" s="120">
        <f>C77*(H77+I77)</f>
        <v>0</v>
      </c>
      <c r="K77" s="118"/>
      <c r="L77" s="119"/>
      <c r="M77" s="119"/>
    </row>
    <row r="78" spans="1:13" ht="55.2" customHeight="1" x14ac:dyDescent="0.25">
      <c r="A78" s="40">
        <v>67</v>
      </c>
      <c r="B78" s="52" t="s">
        <v>285</v>
      </c>
      <c r="C78" s="28"/>
      <c r="D78" s="28" t="s">
        <v>9</v>
      </c>
      <c r="E78" s="34">
        <v>1000</v>
      </c>
      <c r="F78" s="34">
        <v>0</v>
      </c>
      <c r="G78" s="35">
        <f>C78*(E78+F78)</f>
        <v>0</v>
      </c>
      <c r="H78" s="34">
        <f>E78*0.95</f>
        <v>950</v>
      </c>
      <c r="I78" s="34">
        <f>F78*0.95</f>
        <v>0</v>
      </c>
      <c r="J78" s="120">
        <f>C78*(H78+I78)</f>
        <v>0</v>
      </c>
      <c r="K78" s="118"/>
      <c r="L78" s="119"/>
      <c r="M78" s="119"/>
    </row>
    <row r="79" spans="1:13" ht="87" x14ac:dyDescent="0.25">
      <c r="A79" s="40">
        <v>68</v>
      </c>
      <c r="B79" s="52" t="s">
        <v>286</v>
      </c>
      <c r="C79" s="28"/>
      <c r="D79" s="28" t="s">
        <v>11</v>
      </c>
      <c r="E79" s="37"/>
      <c r="F79" s="37"/>
      <c r="G79" s="37">
        <f>SUM(G12:G78)*0.1</f>
        <v>0</v>
      </c>
      <c r="H79" s="37"/>
      <c r="I79" s="34"/>
      <c r="J79" s="37">
        <f>SUM(J12:J78)*0.1</f>
        <v>0</v>
      </c>
      <c r="K79" s="118"/>
      <c r="L79" s="119"/>
      <c r="M79" s="119"/>
    </row>
    <row r="80" spans="1:13" s="128" customFormat="1" ht="19.5" customHeight="1" x14ac:dyDescent="0.3">
      <c r="A80" s="118" t="s">
        <v>0</v>
      </c>
      <c r="B80" s="122" t="s">
        <v>16</v>
      </c>
      <c r="C80" s="123"/>
      <c r="D80" s="124"/>
      <c r="E80" s="125"/>
      <c r="F80" s="125" t="s">
        <v>12</v>
      </c>
      <c r="G80" s="126">
        <f>SUM(G12:G79)</f>
        <v>0</v>
      </c>
      <c r="H80" s="129"/>
      <c r="I80" s="129"/>
      <c r="J80" s="129"/>
      <c r="K80" s="127"/>
    </row>
    <row r="81" spans="1:11" s="128" customFormat="1" ht="19.5" customHeight="1" x14ac:dyDescent="0.3">
      <c r="A81" s="118" t="s">
        <v>0</v>
      </c>
      <c r="B81" s="122" t="s">
        <v>305</v>
      </c>
      <c r="C81" s="123"/>
      <c r="D81" s="124"/>
      <c r="E81" s="129"/>
      <c r="F81" s="129"/>
      <c r="G81" s="129"/>
      <c r="H81" s="129"/>
      <c r="I81" s="125" t="s">
        <v>12</v>
      </c>
      <c r="J81" s="126">
        <f>SUM(J12:J79)</f>
        <v>0</v>
      </c>
      <c r="K81" s="127"/>
    </row>
    <row r="82" spans="1:11" s="128" customFormat="1" ht="19.5" customHeight="1" x14ac:dyDescent="0.3">
      <c r="A82" s="256" t="s">
        <v>17</v>
      </c>
      <c r="B82" s="257" t="s">
        <v>46</v>
      </c>
      <c r="C82" s="257"/>
      <c r="D82" s="257"/>
      <c r="E82" s="257"/>
      <c r="F82" s="257"/>
      <c r="G82" s="257"/>
      <c r="H82" s="257"/>
      <c r="I82" s="257"/>
      <c r="J82" s="257"/>
      <c r="K82" s="257"/>
    </row>
    <row r="83" spans="1:11" x14ac:dyDescent="0.25">
      <c r="A83" s="256"/>
      <c r="B83" s="257" t="s">
        <v>299</v>
      </c>
      <c r="C83" s="257"/>
      <c r="D83" s="257"/>
      <c r="E83" s="257"/>
      <c r="F83" s="257"/>
      <c r="G83" s="257"/>
      <c r="H83" s="257"/>
      <c r="I83" s="257"/>
      <c r="J83" s="257"/>
      <c r="K83" s="257"/>
    </row>
    <row r="84" spans="1:11" s="1" customFormat="1" ht="17.399999999999999" x14ac:dyDescent="0.3">
      <c r="A84" s="248" t="s">
        <v>300</v>
      </c>
      <c r="B84" s="248"/>
      <c r="C84" s="248"/>
      <c r="D84" s="248"/>
      <c r="E84" s="248"/>
      <c r="F84" s="248"/>
      <c r="G84" s="248"/>
      <c r="H84" s="248"/>
      <c r="I84" s="248"/>
      <c r="J84" s="248"/>
      <c r="K84" s="248"/>
    </row>
    <row r="85" spans="1:11" s="1" customFormat="1" ht="17.399999999999999" x14ac:dyDescent="0.3">
      <c r="A85" s="248" t="s">
        <v>537</v>
      </c>
      <c r="B85" s="248"/>
      <c r="C85" s="248"/>
      <c r="D85" s="248"/>
      <c r="E85" s="248"/>
      <c r="F85" s="248"/>
      <c r="G85" s="248"/>
      <c r="H85" s="248"/>
      <c r="I85" s="248"/>
      <c r="J85" s="248"/>
      <c r="K85" s="248"/>
    </row>
    <row r="86" spans="1:11" s="1" customFormat="1" ht="17.399999999999999" x14ac:dyDescent="0.3">
      <c r="A86" s="248" t="s">
        <v>301</v>
      </c>
      <c r="B86" s="248"/>
      <c r="C86" s="248"/>
      <c r="D86" s="248"/>
      <c r="E86" s="248"/>
      <c r="F86" s="248"/>
      <c r="G86" s="248"/>
      <c r="H86" s="248"/>
      <c r="I86" s="248"/>
      <c r="J86" s="248"/>
      <c r="K86" s="248"/>
    </row>
    <row r="87" spans="1:11" x14ac:dyDescent="0.25">
      <c r="F87" s="131"/>
      <c r="I87" s="131"/>
    </row>
    <row r="88" spans="1:11" x14ac:dyDescent="0.25">
      <c r="F88" s="131"/>
      <c r="I88" s="131"/>
    </row>
  </sheetData>
  <mergeCells count="8">
    <mergeCell ref="A85:K85"/>
    <mergeCell ref="A86:K86"/>
    <mergeCell ref="A1:K1"/>
    <mergeCell ref="A10:E10"/>
    <mergeCell ref="A82:A83"/>
    <mergeCell ref="B82:K82"/>
    <mergeCell ref="B83:K83"/>
    <mergeCell ref="A84:K84"/>
  </mergeCells>
  <phoneticPr fontId="5" type="noConversion"/>
  <pageMargins left="0.39370078740157483" right="0.23622047244094491" top="0.39370078740157483" bottom="0.39370078740157483" header="0.31496062992125984" footer="0.31496062992125984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具名範圍</vt:lpstr>
      </vt:variant>
      <vt:variant>
        <vt:i4>36</vt:i4>
      </vt:variant>
    </vt:vector>
  </HeadingPairs>
  <TitlesOfParts>
    <vt:vector size="54" baseType="lpstr">
      <vt:lpstr>總表</vt:lpstr>
      <vt:lpstr>一般報價單</vt:lpstr>
      <vt:lpstr>蜘蛛人報價單</vt:lpstr>
      <vt:lpstr>免打除廁所</vt:lpstr>
      <vt:lpstr>打除廁所</vt:lpstr>
      <vt:lpstr>設計師項目</vt:lpstr>
      <vt:lpstr>SPC廁所</vt:lpstr>
      <vt:lpstr>透氣工法</vt:lpstr>
      <vt:lpstr>無機</vt:lpstr>
      <vt:lpstr>牆面壁癌</vt:lpstr>
      <vt:lpstr>地下室</vt:lpstr>
      <vt:lpstr>ＤＥＣＫ</vt:lpstr>
      <vt:lpstr>一般會勘費用</vt:lpstr>
      <vt:lpstr>信義會勘費用</vt:lpstr>
      <vt:lpstr>台塑網報價單格式</vt:lpstr>
      <vt:lpstr>台塑預約報價單</vt:lpstr>
      <vt:lpstr>美光報價單</vt:lpstr>
      <vt:lpstr>美光議價報價單</vt:lpstr>
      <vt:lpstr>ＤＥＣＫ!Print_Area</vt:lpstr>
      <vt:lpstr>SPC廁所!Print_Area</vt:lpstr>
      <vt:lpstr>一般報價單!Print_Area</vt:lpstr>
      <vt:lpstr>一般會勘費用!Print_Area</vt:lpstr>
      <vt:lpstr>台塑預約報價單!Print_Area</vt:lpstr>
      <vt:lpstr>台塑網報價單格式!Print_Area</vt:lpstr>
      <vt:lpstr>打除廁所!Print_Area</vt:lpstr>
      <vt:lpstr>地下室!Print_Area</vt:lpstr>
      <vt:lpstr>免打除廁所!Print_Area</vt:lpstr>
      <vt:lpstr>信義會勘費用!Print_Area</vt:lpstr>
      <vt:lpstr>美光報價單!Print_Area</vt:lpstr>
      <vt:lpstr>美光議價報價單!Print_Area</vt:lpstr>
      <vt:lpstr>設計師項目!Print_Area</vt:lpstr>
      <vt:lpstr>透氣工法!Print_Area</vt:lpstr>
      <vt:lpstr>無機!Print_Area</vt:lpstr>
      <vt:lpstr>蜘蛛人報價單!Print_Area</vt:lpstr>
      <vt:lpstr>牆面壁癌!Print_Area</vt:lpstr>
      <vt:lpstr>總表!Print_Area</vt:lpstr>
      <vt:lpstr>ＤＥＣＫ!Print_Titles</vt:lpstr>
      <vt:lpstr>SPC廁所!Print_Titles</vt:lpstr>
      <vt:lpstr>一般報價單!Print_Titles</vt:lpstr>
      <vt:lpstr>一般會勘費用!Print_Titles</vt:lpstr>
      <vt:lpstr>台塑預約報價單!Print_Titles</vt:lpstr>
      <vt:lpstr>台塑網報價單格式!Print_Titles</vt:lpstr>
      <vt:lpstr>打除廁所!Print_Titles</vt:lpstr>
      <vt:lpstr>地下室!Print_Titles</vt:lpstr>
      <vt:lpstr>免打除廁所!Print_Titles</vt:lpstr>
      <vt:lpstr>信義會勘費用!Print_Titles</vt:lpstr>
      <vt:lpstr>美光報價單!Print_Titles</vt:lpstr>
      <vt:lpstr>美光議價報價單!Print_Titles</vt:lpstr>
      <vt:lpstr>設計師項目!Print_Titles</vt:lpstr>
      <vt:lpstr>透氣工法!Print_Titles</vt:lpstr>
      <vt:lpstr>無機!Print_Titles</vt:lpstr>
      <vt:lpstr>蜘蛛人報價單!Print_Titles</vt:lpstr>
      <vt:lpstr>牆面壁癌!Print_Titles</vt:lpstr>
      <vt:lpstr>總表!Print_Titles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傑凱工程行</cp:lastModifiedBy>
  <cp:lastPrinted>2025-12-26T07:10:52Z</cp:lastPrinted>
  <dcterms:created xsi:type="dcterms:W3CDTF">2004-02-27T08:34:31Z</dcterms:created>
  <dcterms:modified xsi:type="dcterms:W3CDTF">2026-01-19T13:27:58Z</dcterms:modified>
</cp:coreProperties>
</file>